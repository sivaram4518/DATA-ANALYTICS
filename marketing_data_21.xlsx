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20a21a007a6021/Desktop/"/>
    </mc:Choice>
  </mc:AlternateContent>
  <xr:revisionPtr revIDLastSave="95" documentId="11_AB58B9E7547EBACEEB3B98154BA73E7E7CE7F292" xr6:coauthVersionLast="47" xr6:coauthVersionMax="47" xr10:uidLastSave="{E9610F91-94AE-4221-B167-EB09B231F176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</calcChain>
</file>

<file path=xl/sharedStrings.xml><?xml version="1.0" encoding="utf-8"?>
<sst xmlns="http://schemas.openxmlformats.org/spreadsheetml/2006/main" count="55" uniqueCount="53">
  <si>
    <t>Clicks</t>
  </si>
  <si>
    <t>Views</t>
  </si>
  <si>
    <t>Leads</t>
  </si>
  <si>
    <t>Conversions</t>
  </si>
  <si>
    <t>Spend</t>
  </si>
  <si>
    <t>MEAN</t>
  </si>
  <si>
    <t>MEDIAN</t>
  </si>
  <si>
    <t>MODE</t>
  </si>
  <si>
    <t>RANGE</t>
  </si>
  <si>
    <t>VARIANCE</t>
  </si>
  <si>
    <t>STD</t>
  </si>
  <si>
    <t>CORRELATION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</si>
  <si>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</si>
  <si>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</si>
  <si>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</si>
  <si>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</si>
  <si>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</si>
  <si>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</si>
  <si>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</si>
  <si>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</si>
  <si>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</si>
  <si>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</si>
  <si>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</si>
  <si>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</si>
  <si>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</si>
  <si>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</si>
  <si>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</si>
  <si>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</si>
  <si>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</si>
  <si>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</si>
  <si>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</si>
  <si>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</si>
  <si>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</si>
  <si>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</si>
  <si>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</si>
  <si>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</si>
  <si>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</si>
  <si>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</si>
  <si>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</si>
  <si>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</si>
  <si>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</si>
  <si>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</si>
  <si>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</si>
  <si>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</si>
  <si>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</si>
  <si>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</si>
  <si>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</si>
  <si>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</si>
  <si>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</si>
  <si>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</si>
  <si>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</si>
  <si>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83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</si>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</sst>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31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Sheet!$E$3:$E$21</c:f>
              <c:numCache>
                <c:formatCode>General</c:formatCode>
                <c:ptCount val="19"/>
                <c:pt idx="0">
                  <c:v>64</c:v>
                </c:pt>
                <c:pt idx="1">
                  <c:v>96</c:v>
                </c:pt>
                <c:pt idx="2">
                  <c:v>85</c:v>
                </c:pt>
                <c:pt idx="3">
                  <c:v>98</c:v>
                </c:pt>
                <c:pt idx="4">
                  <c:v>90</c:v>
                </c:pt>
                <c:pt idx="5">
                  <c:v>73</c:v>
                </c:pt>
                <c:pt idx="6">
                  <c:v>44</c:v>
                </c:pt>
                <c:pt idx="7">
                  <c:v>52</c:v>
                </c:pt>
                <c:pt idx="8">
                  <c:v>28</c:v>
                </c:pt>
                <c:pt idx="9">
                  <c:v>64</c:v>
                </c:pt>
                <c:pt idx="10">
                  <c:v>62</c:v>
                </c:pt>
                <c:pt idx="11">
                  <c:v>82</c:v>
                </c:pt>
                <c:pt idx="12">
                  <c:v>76</c:v>
                </c:pt>
                <c:pt idx="13">
                  <c:v>98</c:v>
                </c:pt>
                <c:pt idx="14">
                  <c:v>43</c:v>
                </c:pt>
                <c:pt idx="15">
                  <c:v>58</c:v>
                </c:pt>
                <c:pt idx="16">
                  <c:v>75</c:v>
                </c:pt>
                <c:pt idx="17">
                  <c:v>26</c:v>
                </c:pt>
                <c:pt idx="18">
                  <c:v>91</c:v>
                </c:pt>
              </c:numCache>
            </c:numRef>
          </c:xVal>
          <c:yVal>
            <c:numRef>
              <c:f>Sheet2!$C$25:$C$43</c:f>
              <c:numCache>
                <c:formatCode>General</c:formatCode>
                <c:ptCount val="19"/>
                <c:pt idx="0">
                  <c:v>29.048357570279521</c:v>
                </c:pt>
                <c:pt idx="1">
                  <c:v>31.774184505898106</c:v>
                </c:pt>
                <c:pt idx="2">
                  <c:v>-29.662818503220791</c:v>
                </c:pt>
                <c:pt idx="3">
                  <c:v>36.944548689374258</c:v>
                </c:pt>
                <c:pt idx="4">
                  <c:v>-18.736908044530381</c:v>
                </c:pt>
                <c:pt idx="5">
                  <c:v>-12.68500360407775</c:v>
                </c:pt>
                <c:pt idx="6">
                  <c:v>-1.6552842644820913</c:v>
                </c:pt>
                <c:pt idx="7">
                  <c:v>-20.973827530577452</c:v>
                </c:pt>
                <c:pt idx="8">
                  <c:v>-7.0181977322913838</c:v>
                </c:pt>
                <c:pt idx="9">
                  <c:v>-6.9516424297204793</c:v>
                </c:pt>
                <c:pt idx="10">
                  <c:v>-32.122006613196639</c:v>
                </c:pt>
                <c:pt idx="11">
                  <c:v>12.58163522156498</c:v>
                </c:pt>
                <c:pt idx="12">
                  <c:v>-28.929457328863506</c:v>
                </c:pt>
                <c:pt idx="13">
                  <c:v>-9.0554513106257417</c:v>
                </c:pt>
                <c:pt idx="14">
                  <c:v>41.759533643779825</c:v>
                </c:pt>
                <c:pt idx="15">
                  <c:v>-29.462734980148966</c:v>
                </c:pt>
                <c:pt idx="16">
                  <c:v>40.48536057939841</c:v>
                </c:pt>
                <c:pt idx="17">
                  <c:v>16.811438084232453</c:v>
                </c:pt>
                <c:pt idx="18">
                  <c:v>-12.151725952792304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07-4E78-AE69-A161B467D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028752"/>
        <c:axId val="1176997408"/>
      </c:scatterChart>
      <c:valAx>
        <c:axId val="11630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6997408"/>
        <c:crosses val="autoZero"/>
        <c:crossBetween val="midCat"/>
      </c:valAx>
      <c:valAx>
        <c:axId val="117699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30287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31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Sheet!$E$3:$E$21</c:f>
              <c:numCache>
                <c:formatCode>General</c:formatCode>
                <c:ptCount val="19"/>
                <c:pt idx="0">
                  <c:v>64</c:v>
                </c:pt>
                <c:pt idx="1">
                  <c:v>96</c:v>
                </c:pt>
                <c:pt idx="2">
                  <c:v>85</c:v>
                </c:pt>
                <c:pt idx="3">
                  <c:v>98</c:v>
                </c:pt>
                <c:pt idx="4">
                  <c:v>90</c:v>
                </c:pt>
                <c:pt idx="5">
                  <c:v>73</c:v>
                </c:pt>
                <c:pt idx="6">
                  <c:v>44</c:v>
                </c:pt>
                <c:pt idx="7">
                  <c:v>52</c:v>
                </c:pt>
                <c:pt idx="8">
                  <c:v>28</c:v>
                </c:pt>
                <c:pt idx="9">
                  <c:v>64</c:v>
                </c:pt>
                <c:pt idx="10">
                  <c:v>62</c:v>
                </c:pt>
                <c:pt idx="11">
                  <c:v>82</c:v>
                </c:pt>
                <c:pt idx="12">
                  <c:v>76</c:v>
                </c:pt>
                <c:pt idx="13">
                  <c:v>98</c:v>
                </c:pt>
                <c:pt idx="14">
                  <c:v>43</c:v>
                </c:pt>
                <c:pt idx="15">
                  <c:v>58</c:v>
                </c:pt>
                <c:pt idx="16">
                  <c:v>75</c:v>
                </c:pt>
                <c:pt idx="17">
                  <c:v>26</c:v>
                </c:pt>
                <c:pt idx="18">
                  <c:v>91</c:v>
                </c:pt>
              </c:numCache>
            </c:numRef>
          </c:xVal>
          <c:yVal>
            <c:numRef>
              <c:f>Sheet!$B$3:$B$21</c:f>
              <c:numCache>
                <c:formatCode>General</c:formatCode>
                <c:ptCount val="19"/>
                <c:pt idx="0">
                  <c:v>74</c:v>
                </c:pt>
                <c:pt idx="1">
                  <c:v>90</c:v>
                </c:pt>
                <c:pt idx="2">
                  <c:v>24</c:v>
                </c:pt>
                <c:pt idx="3">
                  <c:v>96</c:v>
                </c:pt>
                <c:pt idx="4">
                  <c:v>37</c:v>
                </c:pt>
                <c:pt idx="5">
                  <c:v>36</c:v>
                </c:pt>
                <c:pt idx="6">
                  <c:v>35</c:v>
                </c:pt>
                <c:pt idx="7">
                  <c:v>19</c:v>
                </c:pt>
                <c:pt idx="8">
                  <c:v>23</c:v>
                </c:pt>
                <c:pt idx="9">
                  <c:v>38</c:v>
                </c:pt>
                <c:pt idx="10">
                  <c:v>12</c:v>
                </c:pt>
                <c:pt idx="11">
                  <c:v>65</c:v>
                </c:pt>
                <c:pt idx="12">
                  <c:v>21</c:v>
                </c:pt>
                <c:pt idx="13">
                  <c:v>50</c:v>
                </c:pt>
                <c:pt idx="14">
                  <c:v>78</c:v>
                </c:pt>
                <c:pt idx="15">
                  <c:v>13</c:v>
                </c:pt>
                <c:pt idx="16">
                  <c:v>90</c:v>
                </c:pt>
                <c:pt idx="17">
                  <c:v>46</c:v>
                </c:pt>
                <c:pt idx="18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D2-421B-9D2C-0D7C8A6B6A12}"/>
            </c:ext>
          </c:extLst>
        </c:ser>
        <c:ser>
          <c:idx val="1"/>
          <c:order val="1"/>
          <c:tx>
            <c:v>Predicted 83</c:v>
          </c:tx>
          <c:spPr>
            <a:ln w="28575">
              <a:noFill/>
            </a:ln>
          </c:spPr>
          <c:xVal>
            <c:numRef>
              <c:f>Sheet!$E$3:$E$21</c:f>
              <c:numCache>
                <c:formatCode>General</c:formatCode>
                <c:ptCount val="19"/>
                <c:pt idx="0">
                  <c:v>64</c:v>
                </c:pt>
                <c:pt idx="1">
                  <c:v>96</c:v>
                </c:pt>
                <c:pt idx="2">
                  <c:v>85</c:v>
                </c:pt>
                <c:pt idx="3">
                  <c:v>98</c:v>
                </c:pt>
                <c:pt idx="4">
                  <c:v>90</c:v>
                </c:pt>
                <c:pt idx="5">
                  <c:v>73</c:v>
                </c:pt>
                <c:pt idx="6">
                  <c:v>44</c:v>
                </c:pt>
                <c:pt idx="7">
                  <c:v>52</c:v>
                </c:pt>
                <c:pt idx="8">
                  <c:v>28</c:v>
                </c:pt>
                <c:pt idx="9">
                  <c:v>64</c:v>
                </c:pt>
                <c:pt idx="10">
                  <c:v>62</c:v>
                </c:pt>
                <c:pt idx="11">
                  <c:v>82</c:v>
                </c:pt>
                <c:pt idx="12">
                  <c:v>76</c:v>
                </c:pt>
                <c:pt idx="13">
                  <c:v>98</c:v>
                </c:pt>
                <c:pt idx="14">
                  <c:v>43</c:v>
                </c:pt>
                <c:pt idx="15">
                  <c:v>58</c:v>
                </c:pt>
                <c:pt idx="16">
                  <c:v>75</c:v>
                </c:pt>
                <c:pt idx="17">
                  <c:v>26</c:v>
                </c:pt>
                <c:pt idx="18">
                  <c:v>91</c:v>
                </c:pt>
              </c:numCache>
            </c:numRef>
          </c:xVal>
          <c:yVal>
            <c:numRef>
              <c:f>Sheet2!$B$25:$B$43</c:f>
              <c:numCache>
                <c:formatCode>General</c:formatCode>
                <c:ptCount val="19"/>
                <c:pt idx="0">
                  <c:v>44.951642429720479</c:v>
                </c:pt>
                <c:pt idx="1">
                  <c:v>58.225815494101894</c:v>
                </c:pt>
                <c:pt idx="2">
                  <c:v>53.662818503220791</c:v>
                </c:pt>
                <c:pt idx="3">
                  <c:v>59.055451310625742</c:v>
                </c:pt>
                <c:pt idx="4">
                  <c:v>55.736908044530381</c:v>
                </c:pt>
                <c:pt idx="5">
                  <c:v>48.68500360407775</c:v>
                </c:pt>
                <c:pt idx="6">
                  <c:v>36.655284264482091</c:v>
                </c:pt>
                <c:pt idx="7">
                  <c:v>39.973827530577452</c:v>
                </c:pt>
                <c:pt idx="8">
                  <c:v>30.018197732291384</c:v>
                </c:pt>
                <c:pt idx="9">
                  <c:v>44.951642429720479</c:v>
                </c:pt>
                <c:pt idx="10">
                  <c:v>44.122006613196639</c:v>
                </c:pt>
                <c:pt idx="11">
                  <c:v>52.41836477843502</c:v>
                </c:pt>
                <c:pt idx="12">
                  <c:v>49.929457328863506</c:v>
                </c:pt>
                <c:pt idx="13">
                  <c:v>59.055451310625742</c:v>
                </c:pt>
                <c:pt idx="14">
                  <c:v>36.240466356220175</c:v>
                </c:pt>
                <c:pt idx="15">
                  <c:v>42.462734980148966</c:v>
                </c:pt>
                <c:pt idx="16">
                  <c:v>49.51463942060159</c:v>
                </c:pt>
                <c:pt idx="17">
                  <c:v>29.188561915767547</c:v>
                </c:pt>
                <c:pt idx="18">
                  <c:v>56.151725952792304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D2-421B-9D2C-0D7C8A6B6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929792"/>
        <c:axId val="1146931232"/>
      </c:scatterChart>
      <c:valAx>
        <c:axId val="114692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6931232"/>
        <c:crosses val="autoZero"/>
        <c:crossBetween val="midCat"/>
      </c:valAx>
      <c:valAx>
        <c:axId val="1146931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6929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Sheet!$D$2:$D$21</c:f>
              <c:numCache>
                <c:formatCode>General</c:formatCode>
                <c:ptCount val="20"/>
                <c:pt idx="0">
                  <c:v>22</c:v>
                </c:pt>
                <c:pt idx="1">
                  <c:v>42</c:v>
                </c:pt>
                <c:pt idx="2">
                  <c:v>62</c:v>
                </c:pt>
                <c:pt idx="3">
                  <c:v>19</c:v>
                </c:pt>
                <c:pt idx="4">
                  <c:v>33</c:v>
                </c:pt>
                <c:pt idx="5">
                  <c:v>41</c:v>
                </c:pt>
                <c:pt idx="6">
                  <c:v>30</c:v>
                </c:pt>
                <c:pt idx="7">
                  <c:v>53</c:v>
                </c:pt>
                <c:pt idx="8">
                  <c:v>60</c:v>
                </c:pt>
                <c:pt idx="9">
                  <c:v>80</c:v>
                </c:pt>
                <c:pt idx="10">
                  <c:v>39</c:v>
                </c:pt>
                <c:pt idx="11">
                  <c:v>61</c:v>
                </c:pt>
                <c:pt idx="12">
                  <c:v>46</c:v>
                </c:pt>
                <c:pt idx="13">
                  <c:v>69</c:v>
                </c:pt>
                <c:pt idx="14">
                  <c:v>26</c:v>
                </c:pt>
                <c:pt idx="15">
                  <c:v>32</c:v>
                </c:pt>
                <c:pt idx="16">
                  <c:v>41</c:v>
                </c:pt>
                <c:pt idx="17">
                  <c:v>81</c:v>
                </c:pt>
                <c:pt idx="18">
                  <c:v>31</c:v>
                </c:pt>
                <c:pt idx="1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4-4D5E-9377-FCA9C0F7C97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Sheet!$E$2:$E$21</c:f>
              <c:numCache>
                <c:formatCode>General</c:formatCode>
                <c:ptCount val="20"/>
                <c:pt idx="0">
                  <c:v>31</c:v>
                </c:pt>
                <c:pt idx="1">
                  <c:v>64</c:v>
                </c:pt>
                <c:pt idx="2">
                  <c:v>96</c:v>
                </c:pt>
                <c:pt idx="3">
                  <c:v>85</c:v>
                </c:pt>
                <c:pt idx="4">
                  <c:v>98</c:v>
                </c:pt>
                <c:pt idx="5">
                  <c:v>90</c:v>
                </c:pt>
                <c:pt idx="6">
                  <c:v>73</c:v>
                </c:pt>
                <c:pt idx="7">
                  <c:v>44</c:v>
                </c:pt>
                <c:pt idx="8">
                  <c:v>52</c:v>
                </c:pt>
                <c:pt idx="9">
                  <c:v>28</c:v>
                </c:pt>
                <c:pt idx="10">
                  <c:v>64</c:v>
                </c:pt>
                <c:pt idx="11">
                  <c:v>62</c:v>
                </c:pt>
                <c:pt idx="12">
                  <c:v>82</c:v>
                </c:pt>
                <c:pt idx="13">
                  <c:v>76</c:v>
                </c:pt>
                <c:pt idx="14">
                  <c:v>98</c:v>
                </c:pt>
                <c:pt idx="15">
                  <c:v>43</c:v>
                </c:pt>
                <c:pt idx="16">
                  <c:v>58</c:v>
                </c:pt>
                <c:pt idx="17">
                  <c:v>75</c:v>
                </c:pt>
                <c:pt idx="18">
                  <c:v>26</c:v>
                </c:pt>
                <c:pt idx="1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4-4D5E-9377-FCA9C0F7C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4738880"/>
        <c:axId val="1144741280"/>
        <c:axId val="0"/>
      </c:bar3DChart>
      <c:catAx>
        <c:axId val="114473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41280"/>
        <c:crosses val="autoZero"/>
        <c:auto val="1"/>
        <c:lblAlgn val="ctr"/>
        <c:lblOffset val="100"/>
        <c:noMultiLvlLbl val="0"/>
      </c:catAx>
      <c:valAx>
        <c:axId val="114474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87-4949-8FD9-E4862E1DD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87-4949-8FD9-E4862E1DD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87-4949-8FD9-E4862E1DD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87-4949-8FD9-E4862E1DD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87-4949-8FD9-E4862E1DD1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D87-4949-8FD9-E4862E1DD1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D87-4949-8FD9-E4862E1DD1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D87-4949-8FD9-E4862E1DD1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D87-4949-8FD9-E4862E1DD1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D87-4949-8FD9-E4862E1DD1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D87-4949-8FD9-E4862E1DD1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D87-4949-8FD9-E4862E1DD1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7D87-4949-8FD9-E4862E1DD1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7D87-4949-8FD9-E4862E1DD1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7D87-4949-8FD9-E4862E1DD1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7D87-4949-8FD9-E4862E1DD1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7D87-4949-8FD9-E4862E1DD1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7D87-4949-8FD9-E4862E1DD1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7D87-4949-8FD9-E4862E1DD1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7D87-4949-8FD9-E4862E1DD1D0}"/>
              </c:ext>
            </c:extLst>
          </c:dPt>
          <c:val>
            <c:numRef>
              <c:f>Sheet!$A$2:$A$21</c:f>
              <c:numCache>
                <c:formatCode>General</c:formatCode>
                <c:ptCount val="20"/>
                <c:pt idx="0">
                  <c:v>66</c:v>
                </c:pt>
                <c:pt idx="1">
                  <c:v>36</c:v>
                </c:pt>
                <c:pt idx="2">
                  <c:v>42</c:v>
                </c:pt>
                <c:pt idx="3">
                  <c:v>88</c:v>
                </c:pt>
                <c:pt idx="4">
                  <c:v>74</c:v>
                </c:pt>
                <c:pt idx="5">
                  <c:v>98</c:v>
                </c:pt>
                <c:pt idx="6">
                  <c:v>75</c:v>
                </c:pt>
                <c:pt idx="7">
                  <c:v>48</c:v>
                </c:pt>
                <c:pt idx="8">
                  <c:v>18</c:v>
                </c:pt>
                <c:pt idx="9">
                  <c:v>42</c:v>
                </c:pt>
                <c:pt idx="10">
                  <c:v>83</c:v>
                </c:pt>
                <c:pt idx="11">
                  <c:v>27</c:v>
                </c:pt>
                <c:pt idx="12">
                  <c:v>68</c:v>
                </c:pt>
                <c:pt idx="13">
                  <c:v>67</c:v>
                </c:pt>
                <c:pt idx="14">
                  <c:v>40</c:v>
                </c:pt>
                <c:pt idx="15">
                  <c:v>39</c:v>
                </c:pt>
                <c:pt idx="16">
                  <c:v>32</c:v>
                </c:pt>
                <c:pt idx="17">
                  <c:v>89</c:v>
                </c:pt>
                <c:pt idx="18">
                  <c:v>20</c:v>
                </c:pt>
                <c:pt idx="1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D-43EA-9B9D-8EAF151D4B2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7D87-4949-8FD9-E4862E1DD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7D87-4949-8FD9-E4862E1DD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7D87-4949-8FD9-E4862E1DD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7D87-4949-8FD9-E4862E1DD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7D87-4949-8FD9-E4862E1DD1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7D87-4949-8FD9-E4862E1DD1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7D87-4949-8FD9-E4862E1DD1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7D87-4949-8FD9-E4862E1DD1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7D87-4949-8FD9-E4862E1DD1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7D87-4949-8FD9-E4862E1DD1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7D87-4949-8FD9-E4862E1DD1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7D87-4949-8FD9-E4862E1DD1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7D87-4949-8FD9-E4862E1DD1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7D87-4949-8FD9-E4862E1DD1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7D87-4949-8FD9-E4862E1DD1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7D87-4949-8FD9-E4862E1DD1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7D87-4949-8FD9-E4862E1DD1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7D87-4949-8FD9-E4862E1DD1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7D87-4949-8FD9-E4862E1DD1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7D87-4949-8FD9-E4862E1DD1D0}"/>
              </c:ext>
            </c:extLst>
          </c:dPt>
          <c:val>
            <c:numRef>
              <c:f>Sheet!$B$2:$B$21</c:f>
              <c:numCache>
                <c:formatCode>General</c:formatCode>
                <c:ptCount val="20"/>
                <c:pt idx="0">
                  <c:v>83</c:v>
                </c:pt>
                <c:pt idx="1">
                  <c:v>74</c:v>
                </c:pt>
                <c:pt idx="2">
                  <c:v>90</c:v>
                </c:pt>
                <c:pt idx="3">
                  <c:v>24</c:v>
                </c:pt>
                <c:pt idx="4">
                  <c:v>96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19</c:v>
                </c:pt>
                <c:pt idx="9">
                  <c:v>23</c:v>
                </c:pt>
                <c:pt idx="10">
                  <c:v>38</c:v>
                </c:pt>
                <c:pt idx="11">
                  <c:v>12</c:v>
                </c:pt>
                <c:pt idx="12">
                  <c:v>65</c:v>
                </c:pt>
                <c:pt idx="13">
                  <c:v>21</c:v>
                </c:pt>
                <c:pt idx="14">
                  <c:v>50</c:v>
                </c:pt>
                <c:pt idx="15">
                  <c:v>78</c:v>
                </c:pt>
                <c:pt idx="16">
                  <c:v>13</c:v>
                </c:pt>
                <c:pt idx="17">
                  <c:v>90</c:v>
                </c:pt>
                <c:pt idx="18">
                  <c:v>46</c:v>
                </c:pt>
                <c:pt idx="1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D-43EA-9B9D-8EAF151D4B2F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7D87-4949-8FD9-E4862E1DD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7D87-4949-8FD9-E4862E1DD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7D87-4949-8FD9-E4862E1DD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7D87-4949-8FD9-E4862E1DD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7D87-4949-8FD9-E4862E1DD1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7D87-4949-8FD9-E4862E1DD1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7D87-4949-8FD9-E4862E1DD1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7D87-4949-8FD9-E4862E1DD1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7D87-4949-8FD9-E4862E1DD1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7D87-4949-8FD9-E4862E1DD1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7D87-4949-8FD9-E4862E1DD1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7D87-4949-8FD9-E4862E1DD1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7D87-4949-8FD9-E4862E1DD1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7D87-4949-8FD9-E4862E1DD1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7D87-4949-8FD9-E4862E1DD1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7D87-4949-8FD9-E4862E1DD1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7D87-4949-8FD9-E4862E1DD1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7D87-4949-8FD9-E4862E1DD1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7D87-4949-8FD9-E4862E1DD1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7D87-4949-8FD9-E4862E1DD1D0}"/>
              </c:ext>
            </c:extLst>
          </c:dPt>
          <c:val>
            <c:numRef>
              <c:f>Sheet!$C$2:$C$21</c:f>
              <c:numCache>
                <c:formatCode>General</c:formatCode>
                <c:ptCount val="20"/>
                <c:pt idx="0">
                  <c:v>21</c:v>
                </c:pt>
                <c:pt idx="1">
                  <c:v>43</c:v>
                </c:pt>
                <c:pt idx="2">
                  <c:v>15</c:v>
                </c:pt>
                <c:pt idx="3">
                  <c:v>47</c:v>
                </c:pt>
                <c:pt idx="4">
                  <c:v>23</c:v>
                </c:pt>
                <c:pt idx="5">
                  <c:v>76</c:v>
                </c:pt>
                <c:pt idx="6">
                  <c:v>89</c:v>
                </c:pt>
                <c:pt idx="7">
                  <c:v>100</c:v>
                </c:pt>
                <c:pt idx="8">
                  <c:v>56</c:v>
                </c:pt>
                <c:pt idx="9">
                  <c:v>33</c:v>
                </c:pt>
                <c:pt idx="10">
                  <c:v>48</c:v>
                </c:pt>
                <c:pt idx="11">
                  <c:v>77</c:v>
                </c:pt>
                <c:pt idx="12">
                  <c:v>59</c:v>
                </c:pt>
                <c:pt idx="13">
                  <c:v>74</c:v>
                </c:pt>
                <c:pt idx="14">
                  <c:v>82</c:v>
                </c:pt>
                <c:pt idx="15">
                  <c:v>73</c:v>
                </c:pt>
                <c:pt idx="16">
                  <c:v>56</c:v>
                </c:pt>
                <c:pt idx="17">
                  <c:v>100</c:v>
                </c:pt>
                <c:pt idx="18">
                  <c:v>47</c:v>
                </c:pt>
                <c:pt idx="1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FD-43EA-9B9D-8EAF151D4B2F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7D87-4949-8FD9-E4862E1DD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7D87-4949-8FD9-E4862E1DD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7D87-4949-8FD9-E4862E1DD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7D87-4949-8FD9-E4862E1DD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7D87-4949-8FD9-E4862E1DD1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7D87-4949-8FD9-E4862E1DD1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7D87-4949-8FD9-E4862E1DD1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7D87-4949-8FD9-E4862E1DD1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7D87-4949-8FD9-E4862E1DD1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7D87-4949-8FD9-E4862E1DD1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7D87-4949-8FD9-E4862E1DD1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7D87-4949-8FD9-E4862E1DD1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7D87-4949-8FD9-E4862E1DD1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7D87-4949-8FD9-E4862E1DD1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7D87-4949-8FD9-E4862E1DD1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7D87-4949-8FD9-E4862E1DD1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7D87-4949-8FD9-E4862E1DD1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7D87-4949-8FD9-E4862E1DD1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7D87-4949-8FD9-E4862E1DD1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7D87-4949-8FD9-E4862E1DD1D0}"/>
              </c:ext>
            </c:extLst>
          </c:dPt>
          <c:val>
            <c:numRef>
              <c:f>Sheet!$D$2:$D$21</c:f>
              <c:numCache>
                <c:formatCode>General</c:formatCode>
                <c:ptCount val="20"/>
                <c:pt idx="0">
                  <c:v>22</c:v>
                </c:pt>
                <c:pt idx="1">
                  <c:v>42</c:v>
                </c:pt>
                <c:pt idx="2">
                  <c:v>62</c:v>
                </c:pt>
                <c:pt idx="3">
                  <c:v>19</c:v>
                </c:pt>
                <c:pt idx="4">
                  <c:v>33</c:v>
                </c:pt>
                <c:pt idx="5">
                  <c:v>41</c:v>
                </c:pt>
                <c:pt idx="6">
                  <c:v>30</c:v>
                </c:pt>
                <c:pt idx="7">
                  <c:v>53</c:v>
                </c:pt>
                <c:pt idx="8">
                  <c:v>60</c:v>
                </c:pt>
                <c:pt idx="9">
                  <c:v>80</c:v>
                </c:pt>
                <c:pt idx="10">
                  <c:v>39</c:v>
                </c:pt>
                <c:pt idx="11">
                  <c:v>61</c:v>
                </c:pt>
                <c:pt idx="12">
                  <c:v>46</c:v>
                </c:pt>
                <c:pt idx="13">
                  <c:v>69</c:v>
                </c:pt>
                <c:pt idx="14">
                  <c:v>26</c:v>
                </c:pt>
                <c:pt idx="15">
                  <c:v>32</c:v>
                </c:pt>
                <c:pt idx="16">
                  <c:v>41</c:v>
                </c:pt>
                <c:pt idx="17">
                  <c:v>81</c:v>
                </c:pt>
                <c:pt idx="18">
                  <c:v>31</c:v>
                </c:pt>
                <c:pt idx="1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FD-43EA-9B9D-8EAF151D4B2F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7D87-4949-8FD9-E4862E1DD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7D87-4949-8FD9-E4862E1DD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7D87-4949-8FD9-E4862E1DD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7D87-4949-8FD9-E4862E1DD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7D87-4949-8FD9-E4862E1DD1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7D87-4949-8FD9-E4862E1DD1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7D87-4949-8FD9-E4862E1DD1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7D87-4949-8FD9-E4862E1DD1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7D87-4949-8FD9-E4862E1DD1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7D87-4949-8FD9-E4862E1DD1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7D87-4949-8FD9-E4862E1DD1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7D87-4949-8FD9-E4862E1DD1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7D87-4949-8FD9-E4862E1DD1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7D87-4949-8FD9-E4862E1DD1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7D87-4949-8FD9-E4862E1DD1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7D87-4949-8FD9-E4862E1DD1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7D87-4949-8FD9-E4862E1DD1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7D87-4949-8FD9-E4862E1DD1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7D87-4949-8FD9-E4862E1DD1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7D87-4949-8FD9-E4862E1DD1D0}"/>
              </c:ext>
            </c:extLst>
          </c:dPt>
          <c:val>
            <c:numRef>
              <c:f>Sheet!$E$2:$E$21</c:f>
              <c:numCache>
                <c:formatCode>General</c:formatCode>
                <c:ptCount val="20"/>
                <c:pt idx="0">
                  <c:v>31</c:v>
                </c:pt>
                <c:pt idx="1">
                  <c:v>64</c:v>
                </c:pt>
                <c:pt idx="2">
                  <c:v>96</c:v>
                </c:pt>
                <c:pt idx="3">
                  <c:v>85</c:v>
                </c:pt>
                <c:pt idx="4">
                  <c:v>98</c:v>
                </c:pt>
                <c:pt idx="5">
                  <c:v>90</c:v>
                </c:pt>
                <c:pt idx="6">
                  <c:v>73</c:v>
                </c:pt>
                <c:pt idx="7">
                  <c:v>44</c:v>
                </c:pt>
                <c:pt idx="8">
                  <c:v>52</c:v>
                </c:pt>
                <c:pt idx="9">
                  <c:v>28</c:v>
                </c:pt>
                <c:pt idx="10">
                  <c:v>64</c:v>
                </c:pt>
                <c:pt idx="11">
                  <c:v>62</c:v>
                </c:pt>
                <c:pt idx="12">
                  <c:v>82</c:v>
                </c:pt>
                <c:pt idx="13">
                  <c:v>76</c:v>
                </c:pt>
                <c:pt idx="14">
                  <c:v>98</c:v>
                </c:pt>
                <c:pt idx="15">
                  <c:v>43</c:v>
                </c:pt>
                <c:pt idx="16">
                  <c:v>58</c:v>
                </c:pt>
                <c:pt idx="17">
                  <c:v>75</c:v>
                </c:pt>
                <c:pt idx="18">
                  <c:v>26</c:v>
                </c:pt>
                <c:pt idx="1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FD-43EA-9B9D-8EAF151D4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D402A-6132-C637-E2A1-FF391C0D7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11</xdr:row>
      <xdr:rowOff>167640</xdr:rowOff>
    </xdr:from>
    <xdr:to>
      <xdr:col>15</xdr:col>
      <xdr:colOff>266700</xdr:colOff>
      <xdr:row>21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D5E09-5413-A727-12EF-305D9AF2B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0D6BE-57F9-4AA7-BD54-8C6E24F0D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548640</xdr:colOff>
      <xdr:row>21</xdr:row>
      <xdr:rowOff>179070</xdr:rowOff>
    </xdr:from>
    <xdr:to>
      <xdr:col>15</xdr:col>
      <xdr:colOff>243840</xdr:colOff>
      <xdr:row>36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E8F996-6694-DD69-D01F-EDAFB885B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ADC8-81A7-4E39-BD6F-84FFD1621C16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3" t="s">
        <v>12</v>
      </c>
      <c r="B1" s="3"/>
    </row>
    <row r="3" spans="1:2" x14ac:dyDescent="0.3">
      <c r="A3" t="s">
        <v>13</v>
      </c>
      <c r="B3">
        <v>66.8</v>
      </c>
    </row>
    <row r="4" spans="1:2" x14ac:dyDescent="0.3">
      <c r="A4" t="s">
        <v>14</v>
      </c>
      <c r="B4">
        <v>5.2688758413516386</v>
      </c>
    </row>
    <row r="5" spans="1:2" x14ac:dyDescent="0.3">
      <c r="A5" t="s">
        <v>15</v>
      </c>
      <c r="B5">
        <v>68.5</v>
      </c>
    </row>
    <row r="6" spans="1:2" x14ac:dyDescent="0.3">
      <c r="A6" t="s">
        <v>16</v>
      </c>
      <c r="B6">
        <v>64</v>
      </c>
    </row>
    <row r="7" spans="1:2" x14ac:dyDescent="0.3">
      <c r="A7" t="s">
        <v>17</v>
      </c>
      <c r="B7">
        <v>23.563129092537324</v>
      </c>
    </row>
    <row r="8" spans="1:2" x14ac:dyDescent="0.3">
      <c r="A8" t="s">
        <v>18</v>
      </c>
      <c r="B8">
        <v>555.2210526315788</v>
      </c>
    </row>
    <row r="9" spans="1:2" x14ac:dyDescent="0.3">
      <c r="A9" t="s">
        <v>19</v>
      </c>
      <c r="B9">
        <v>-1.0184907698178804</v>
      </c>
    </row>
    <row r="10" spans="1:2" x14ac:dyDescent="0.3">
      <c r="A10" t="s">
        <v>20</v>
      </c>
      <c r="B10">
        <v>-0.34961598073773897</v>
      </c>
    </row>
    <row r="11" spans="1:2" x14ac:dyDescent="0.3">
      <c r="A11" t="s">
        <v>21</v>
      </c>
      <c r="B11">
        <v>72</v>
      </c>
    </row>
    <row r="12" spans="1:2" x14ac:dyDescent="0.3">
      <c r="A12" t="s">
        <v>22</v>
      </c>
      <c r="B12">
        <v>26</v>
      </c>
    </row>
    <row r="13" spans="1:2" x14ac:dyDescent="0.3">
      <c r="A13" t="s">
        <v>23</v>
      </c>
      <c r="B13">
        <v>98</v>
      </c>
    </row>
    <row r="14" spans="1:2" x14ac:dyDescent="0.3">
      <c r="A14" t="s">
        <v>24</v>
      </c>
      <c r="B14">
        <v>1336</v>
      </c>
    </row>
    <row r="15" spans="1:2" ht="15" thickBot="1" x14ac:dyDescent="0.35">
      <c r="A15" s="1" t="s">
        <v>25</v>
      </c>
      <c r="B15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A7E2-46D8-4539-BA61-4C1CE43DD0C2}">
  <dimension ref="A1:I43"/>
  <sheetViews>
    <sheetView tabSelected="1" workbookViewId="0">
      <selection activeCell="H4" sqref="H4"/>
    </sheetView>
  </sheetViews>
  <sheetFormatPr defaultRowHeight="14.4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3" t="s">
        <v>27</v>
      </c>
      <c r="B3" s="3"/>
    </row>
    <row r="4" spans="1:9" x14ac:dyDescent="0.3">
      <c r="A4" t="s">
        <v>28</v>
      </c>
      <c r="B4">
        <v>0.34214066461926329</v>
      </c>
    </row>
    <row r="5" spans="1:9" x14ac:dyDescent="0.3">
      <c r="A5" t="s">
        <v>29</v>
      </c>
      <c r="B5">
        <v>0.1170602343861112</v>
      </c>
    </row>
    <row r="6" spans="1:9" x14ac:dyDescent="0.3">
      <c r="A6" t="s">
        <v>30</v>
      </c>
      <c r="B6">
        <v>6.5122601114705983E-2</v>
      </c>
    </row>
    <row r="7" spans="1:9" x14ac:dyDescent="0.3">
      <c r="A7" t="s">
        <v>14</v>
      </c>
      <c r="B7">
        <v>26.502709637391813</v>
      </c>
    </row>
    <row r="8" spans="1:9" ht="15" thickBot="1" x14ac:dyDescent="0.35">
      <c r="A8" s="1" t="s">
        <v>31</v>
      </c>
      <c r="B8" s="1">
        <v>19</v>
      </c>
    </row>
    <row r="10" spans="1:9" ht="15" thickBot="1" x14ac:dyDescent="0.35">
      <c r="A10" t="s">
        <v>32</v>
      </c>
    </row>
    <row r="11" spans="1:9" x14ac:dyDescent="0.3">
      <c r="A11" s="2"/>
      <c r="B11" s="2" t="s">
        <v>37</v>
      </c>
      <c r="C11" s="2" t="s">
        <v>38</v>
      </c>
      <c r="D11" s="2" t="s">
        <v>39</v>
      </c>
      <c r="E11" s="2" t="s">
        <v>40</v>
      </c>
      <c r="F11" s="2" t="s">
        <v>41</v>
      </c>
    </row>
    <row r="12" spans="1:9" x14ac:dyDescent="0.3">
      <c r="A12" t="s">
        <v>33</v>
      </c>
      <c r="B12">
        <v>1</v>
      </c>
      <c r="C12">
        <v>1583.0979655778974</v>
      </c>
      <c r="D12">
        <v>1583.0979655778974</v>
      </c>
      <c r="E12">
        <v>2.2538615453346016</v>
      </c>
      <c r="F12">
        <v>0.15162684469814477</v>
      </c>
    </row>
    <row r="13" spans="1:9" x14ac:dyDescent="0.3">
      <c r="A13" t="s">
        <v>34</v>
      </c>
      <c r="B13">
        <v>17</v>
      </c>
      <c r="C13">
        <v>11940.691508106316</v>
      </c>
      <c r="D13">
        <v>702.39361812390098</v>
      </c>
    </row>
    <row r="14" spans="1:9" ht="15" thickBot="1" x14ac:dyDescent="0.35">
      <c r="A14" s="1" t="s">
        <v>35</v>
      </c>
      <c r="B14" s="1">
        <v>18</v>
      </c>
      <c r="C14" s="1">
        <v>13523.789473684214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42</v>
      </c>
      <c r="C16" s="2" t="s">
        <v>14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47</v>
      </c>
      <c r="I16" s="2" t="s">
        <v>48</v>
      </c>
    </row>
    <row r="17" spans="1:9" x14ac:dyDescent="0.3">
      <c r="A17" t="s">
        <v>36</v>
      </c>
      <c r="B17">
        <v>18.403296300957646</v>
      </c>
      <c r="C17">
        <v>19.928199807345035</v>
      </c>
      <c r="D17">
        <v>0.92348011756559423</v>
      </c>
      <c r="E17">
        <v>0.36867967963195847</v>
      </c>
      <c r="F17">
        <v>-23.641530090753815</v>
      </c>
      <c r="G17">
        <v>60.448122692669102</v>
      </c>
      <c r="H17">
        <v>-23.641530090753815</v>
      </c>
      <c r="I17">
        <v>60.448122692669102</v>
      </c>
    </row>
    <row r="18" spans="1:9" ht="15" thickBot="1" x14ac:dyDescent="0.35">
      <c r="A18" s="1">
        <v>31</v>
      </c>
      <c r="B18" s="1">
        <v>0.41481790826191928</v>
      </c>
      <c r="C18" s="1">
        <v>0.27630826784188417</v>
      </c>
      <c r="D18" s="1">
        <v>1.501286629972638</v>
      </c>
      <c r="E18" s="1">
        <v>0.15162684469814502</v>
      </c>
      <c r="F18" s="1">
        <v>-0.16814157951502845</v>
      </c>
      <c r="G18" s="1">
        <v>0.99777739603886695</v>
      </c>
      <c r="H18" s="1">
        <v>-0.16814157951502845</v>
      </c>
      <c r="I18" s="1">
        <v>0.99777739603886695</v>
      </c>
    </row>
    <row r="22" spans="1:9" x14ac:dyDescent="0.3">
      <c r="A22" t="s">
        <v>49</v>
      </c>
    </row>
    <row r="23" spans="1:9" ht="15" thickBot="1" x14ac:dyDescent="0.35"/>
    <row r="24" spans="1:9" x14ac:dyDescent="0.3">
      <c r="A24" s="2" t="s">
        <v>50</v>
      </c>
      <c r="B24" s="2" t="s">
        <v>51</v>
      </c>
      <c r="C24" s="2" t="s">
        <v>52</v>
      </c>
    </row>
    <row r="25" spans="1:9" x14ac:dyDescent="0.3">
      <c r="A25">
        <v>1</v>
      </c>
      <c r="B25">
        <v>44.951642429720479</v>
      </c>
      <c r="C25">
        <v>29.048357570279521</v>
      </c>
    </row>
    <row r="26" spans="1:9" x14ac:dyDescent="0.3">
      <c r="A26">
        <v>2</v>
      </c>
      <c r="B26">
        <v>58.225815494101894</v>
      </c>
      <c r="C26">
        <v>31.774184505898106</v>
      </c>
    </row>
    <row r="27" spans="1:9" x14ac:dyDescent="0.3">
      <c r="A27">
        <v>3</v>
      </c>
      <c r="B27">
        <v>53.662818503220791</v>
      </c>
      <c r="C27">
        <v>-29.662818503220791</v>
      </c>
    </row>
    <row r="28" spans="1:9" x14ac:dyDescent="0.3">
      <c r="A28">
        <v>4</v>
      </c>
      <c r="B28">
        <v>59.055451310625742</v>
      </c>
      <c r="C28">
        <v>36.944548689374258</v>
      </c>
    </row>
    <row r="29" spans="1:9" x14ac:dyDescent="0.3">
      <c r="A29">
        <v>5</v>
      </c>
      <c r="B29">
        <v>55.736908044530381</v>
      </c>
      <c r="C29">
        <v>-18.736908044530381</v>
      </c>
    </row>
    <row r="30" spans="1:9" x14ac:dyDescent="0.3">
      <c r="A30">
        <v>6</v>
      </c>
      <c r="B30">
        <v>48.68500360407775</v>
      </c>
      <c r="C30">
        <v>-12.68500360407775</v>
      </c>
    </row>
    <row r="31" spans="1:9" x14ac:dyDescent="0.3">
      <c r="A31">
        <v>7</v>
      </c>
      <c r="B31">
        <v>36.655284264482091</v>
      </c>
      <c r="C31">
        <v>-1.6552842644820913</v>
      </c>
    </row>
    <row r="32" spans="1:9" x14ac:dyDescent="0.3">
      <c r="A32">
        <v>8</v>
      </c>
      <c r="B32">
        <v>39.973827530577452</v>
      </c>
      <c r="C32">
        <v>-20.973827530577452</v>
      </c>
    </row>
    <row r="33" spans="1:3" x14ac:dyDescent="0.3">
      <c r="A33">
        <v>9</v>
      </c>
      <c r="B33">
        <v>30.018197732291384</v>
      </c>
      <c r="C33">
        <v>-7.0181977322913838</v>
      </c>
    </row>
    <row r="34" spans="1:3" x14ac:dyDescent="0.3">
      <c r="A34">
        <v>10</v>
      </c>
      <c r="B34">
        <v>44.951642429720479</v>
      </c>
      <c r="C34">
        <v>-6.9516424297204793</v>
      </c>
    </row>
    <row r="35" spans="1:3" x14ac:dyDescent="0.3">
      <c r="A35">
        <v>11</v>
      </c>
      <c r="B35">
        <v>44.122006613196639</v>
      </c>
      <c r="C35">
        <v>-32.122006613196639</v>
      </c>
    </row>
    <row r="36" spans="1:3" x14ac:dyDescent="0.3">
      <c r="A36">
        <v>12</v>
      </c>
      <c r="B36">
        <v>52.41836477843502</v>
      </c>
      <c r="C36">
        <v>12.58163522156498</v>
      </c>
    </row>
    <row r="37" spans="1:3" x14ac:dyDescent="0.3">
      <c r="A37">
        <v>13</v>
      </c>
      <c r="B37">
        <v>49.929457328863506</v>
      </c>
      <c r="C37">
        <v>-28.929457328863506</v>
      </c>
    </row>
    <row r="38" spans="1:3" x14ac:dyDescent="0.3">
      <c r="A38">
        <v>14</v>
      </c>
      <c r="B38">
        <v>59.055451310625742</v>
      </c>
      <c r="C38">
        <v>-9.0554513106257417</v>
      </c>
    </row>
    <row r="39" spans="1:3" x14ac:dyDescent="0.3">
      <c r="A39">
        <v>15</v>
      </c>
      <c r="B39">
        <v>36.240466356220175</v>
      </c>
      <c r="C39">
        <v>41.759533643779825</v>
      </c>
    </row>
    <row r="40" spans="1:3" x14ac:dyDescent="0.3">
      <c r="A40">
        <v>16</v>
      </c>
      <c r="B40">
        <v>42.462734980148966</v>
      </c>
      <c r="C40">
        <v>-29.462734980148966</v>
      </c>
    </row>
    <row r="41" spans="1:3" x14ac:dyDescent="0.3">
      <c r="A41">
        <v>17</v>
      </c>
      <c r="B41">
        <v>49.51463942060159</v>
      </c>
      <c r="C41">
        <v>40.48536057939841</v>
      </c>
    </row>
    <row r="42" spans="1:3" x14ac:dyDescent="0.3">
      <c r="A42">
        <v>18</v>
      </c>
      <c r="B42">
        <v>29.188561915767547</v>
      </c>
      <c r="C42">
        <v>16.811438084232453</v>
      </c>
    </row>
    <row r="43" spans="1:3" ht="15" thickBot="1" x14ac:dyDescent="0.35">
      <c r="A43" s="1">
        <v>19</v>
      </c>
      <c r="B43" s="1">
        <v>56.151725952792304</v>
      </c>
      <c r="C43" s="1">
        <v>-12.151725952792304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E3" sqref="E3:E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66</v>
      </c>
      <c r="B2">
        <v>83</v>
      </c>
      <c r="C2">
        <v>21</v>
      </c>
      <c r="D2">
        <v>22</v>
      </c>
      <c r="E2">
        <v>31</v>
      </c>
    </row>
    <row r="3" spans="1:5" x14ac:dyDescent="0.3">
      <c r="A3">
        <v>36</v>
      </c>
      <c r="B3">
        <v>74</v>
      </c>
      <c r="C3">
        <v>43</v>
      </c>
      <c r="D3">
        <v>42</v>
      </c>
      <c r="E3">
        <v>64</v>
      </c>
    </row>
    <row r="4" spans="1:5" x14ac:dyDescent="0.3">
      <c r="A4">
        <v>42</v>
      </c>
      <c r="B4">
        <v>90</v>
      </c>
      <c r="C4">
        <v>15</v>
      </c>
      <c r="D4">
        <v>62</v>
      </c>
      <c r="E4">
        <v>96</v>
      </c>
    </row>
    <row r="5" spans="1:5" x14ac:dyDescent="0.3">
      <c r="A5">
        <v>88</v>
      </c>
      <c r="B5">
        <v>24</v>
      </c>
      <c r="C5">
        <v>47</v>
      </c>
      <c r="D5">
        <v>19</v>
      </c>
      <c r="E5">
        <v>85</v>
      </c>
    </row>
    <row r="6" spans="1:5" x14ac:dyDescent="0.3">
      <c r="A6">
        <v>74</v>
      </c>
      <c r="B6">
        <v>96</v>
      </c>
      <c r="C6">
        <v>23</v>
      </c>
      <c r="D6">
        <v>33</v>
      </c>
      <c r="E6">
        <v>98</v>
      </c>
    </row>
    <row r="7" spans="1:5" x14ac:dyDescent="0.3">
      <c r="A7">
        <v>98</v>
      </c>
      <c r="B7">
        <v>37</v>
      </c>
      <c r="C7">
        <v>76</v>
      </c>
      <c r="D7">
        <v>41</v>
      </c>
      <c r="E7">
        <v>90</v>
      </c>
    </row>
    <row r="8" spans="1:5" x14ac:dyDescent="0.3">
      <c r="A8">
        <v>75</v>
      </c>
      <c r="B8">
        <v>36</v>
      </c>
      <c r="C8">
        <v>89</v>
      </c>
      <c r="D8">
        <v>30</v>
      </c>
      <c r="E8">
        <v>73</v>
      </c>
    </row>
    <row r="9" spans="1:5" x14ac:dyDescent="0.3">
      <c r="A9">
        <v>48</v>
      </c>
      <c r="B9">
        <v>35</v>
      </c>
      <c r="C9">
        <v>100</v>
      </c>
      <c r="D9">
        <v>53</v>
      </c>
      <c r="E9">
        <v>44</v>
      </c>
    </row>
    <row r="10" spans="1:5" x14ac:dyDescent="0.3">
      <c r="A10">
        <v>18</v>
      </c>
      <c r="B10">
        <v>19</v>
      </c>
      <c r="C10">
        <v>56</v>
      </c>
      <c r="D10">
        <v>60</v>
      </c>
      <c r="E10">
        <v>52</v>
      </c>
    </row>
    <row r="11" spans="1:5" x14ac:dyDescent="0.3">
      <c r="A11">
        <v>42</v>
      </c>
      <c r="B11">
        <v>23</v>
      </c>
      <c r="C11">
        <v>33</v>
      </c>
      <c r="D11">
        <v>80</v>
      </c>
      <c r="E11">
        <v>28</v>
      </c>
    </row>
    <row r="12" spans="1:5" x14ac:dyDescent="0.3">
      <c r="A12">
        <v>83</v>
      </c>
      <c r="B12">
        <v>38</v>
      </c>
      <c r="C12">
        <v>48</v>
      </c>
      <c r="D12">
        <v>39</v>
      </c>
      <c r="E12">
        <v>64</v>
      </c>
    </row>
    <row r="13" spans="1:5" x14ac:dyDescent="0.3">
      <c r="A13">
        <v>27</v>
      </c>
      <c r="B13">
        <v>12</v>
      </c>
      <c r="C13">
        <v>77</v>
      </c>
      <c r="D13">
        <v>61</v>
      </c>
      <c r="E13">
        <v>62</v>
      </c>
    </row>
    <row r="14" spans="1:5" x14ac:dyDescent="0.3">
      <c r="A14">
        <v>68</v>
      </c>
      <c r="B14">
        <v>65</v>
      </c>
      <c r="C14">
        <v>59</v>
      </c>
      <c r="D14">
        <v>46</v>
      </c>
      <c r="E14">
        <v>82</v>
      </c>
    </row>
    <row r="15" spans="1:5" x14ac:dyDescent="0.3">
      <c r="A15">
        <v>67</v>
      </c>
      <c r="B15">
        <v>21</v>
      </c>
      <c r="C15">
        <v>74</v>
      </c>
      <c r="D15">
        <v>69</v>
      </c>
      <c r="E15">
        <v>76</v>
      </c>
    </row>
    <row r="16" spans="1:5" x14ac:dyDescent="0.3">
      <c r="A16">
        <v>40</v>
      </c>
      <c r="B16">
        <v>50</v>
      </c>
      <c r="C16">
        <v>82</v>
      </c>
      <c r="D16">
        <v>26</v>
      </c>
      <c r="E16">
        <v>98</v>
      </c>
    </row>
    <row r="17" spans="1:6" x14ac:dyDescent="0.3">
      <c r="A17">
        <v>39</v>
      </c>
      <c r="B17">
        <v>78</v>
      </c>
      <c r="C17">
        <v>73</v>
      </c>
      <c r="D17">
        <v>32</v>
      </c>
      <c r="E17">
        <v>43</v>
      </c>
    </row>
    <row r="18" spans="1:6" x14ac:dyDescent="0.3">
      <c r="A18">
        <v>32</v>
      </c>
      <c r="B18">
        <v>13</v>
      </c>
      <c r="C18">
        <v>56</v>
      </c>
      <c r="D18">
        <v>41</v>
      </c>
      <c r="E18">
        <v>58</v>
      </c>
    </row>
    <row r="19" spans="1:6" x14ac:dyDescent="0.3">
      <c r="A19">
        <v>89</v>
      </c>
      <c r="B19">
        <v>90</v>
      </c>
      <c r="C19">
        <v>100</v>
      </c>
      <c r="D19">
        <v>81</v>
      </c>
      <c r="E19">
        <v>75</v>
      </c>
    </row>
    <row r="20" spans="1:6" x14ac:dyDescent="0.3">
      <c r="A20">
        <v>20</v>
      </c>
      <c r="B20">
        <v>46</v>
      </c>
      <c r="C20">
        <v>47</v>
      </c>
      <c r="D20">
        <v>31</v>
      </c>
      <c r="E20">
        <v>26</v>
      </c>
    </row>
    <row r="21" spans="1:6" x14ac:dyDescent="0.3">
      <c r="A21">
        <v>77</v>
      </c>
      <c r="B21">
        <v>44</v>
      </c>
      <c r="C21">
        <v>77</v>
      </c>
      <c r="D21">
        <v>70</v>
      </c>
      <c r="E21">
        <v>91</v>
      </c>
    </row>
    <row r="22" spans="1:6" x14ac:dyDescent="0.3">
      <c r="E22">
        <f>AVERAGE(E2:E21)</f>
        <v>66.8</v>
      </c>
      <c r="F22" t="s">
        <v>5</v>
      </c>
    </row>
    <row r="23" spans="1:6" x14ac:dyDescent="0.3">
      <c r="E23">
        <f>MEDIAN(E2:E21)</f>
        <v>68.5</v>
      </c>
      <c r="F23" t="s">
        <v>6</v>
      </c>
    </row>
    <row r="24" spans="1:6" x14ac:dyDescent="0.3">
      <c r="E24">
        <f>MODE(E2:E21)</f>
        <v>64</v>
      </c>
      <c r="F24" t="s">
        <v>7</v>
      </c>
    </row>
    <row r="25" spans="1:6" x14ac:dyDescent="0.3">
      <c r="E25">
        <f>MAX(E2:E21)-MIN(E2:E21)</f>
        <v>72</v>
      </c>
      <c r="F25" t="s">
        <v>8</v>
      </c>
    </row>
    <row r="26" spans="1:6" x14ac:dyDescent="0.3">
      <c r="E26">
        <f>_xlfn.VAR.S(E2:E21)</f>
        <v>555.2210526315788</v>
      </c>
      <c r="F26" t="s">
        <v>9</v>
      </c>
    </row>
    <row r="27" spans="1:6" x14ac:dyDescent="0.3">
      <c r="E27">
        <f>_xlfn.STDEV.S(E2:E21)</f>
        <v>23.563129092537324</v>
      </c>
      <c r="F27" t="s">
        <v>10</v>
      </c>
    </row>
    <row r="28" spans="1:6" x14ac:dyDescent="0.3">
      <c r="E28">
        <f>CORREL(E2:E21,D2:D21)</f>
        <v>-8.0394679996355599E-3</v>
      </c>
      <c r="F28" t="s">
        <v>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shakam sivaramireddy</cp:lastModifiedBy>
  <dcterms:created xsi:type="dcterms:W3CDTF">2026-05-26T15:34:52Z</dcterms:created>
  <dcterms:modified xsi:type="dcterms:W3CDTF">2026-05-27T04:05:37Z</dcterms:modified>
</cp:coreProperties>
</file>