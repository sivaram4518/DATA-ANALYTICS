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13_ncr:1_{BE199A9B-9ABA-4A0C-83EC-99754D877F5A}" xr6:coauthVersionLast="47" xr6:coauthVersionMax="47" xr10:uidLastSave="{00000000-0000-0000-0000-000000000000}"/>
  <bookViews>
    <workbookView xWindow="-120" yWindow="-120" windowWidth="29040" windowHeight="15720" activeTab="1" xr2:uid="{BDF5C189-5522-4101-87E1-2BD8CDF6D614}"/>
  </bookViews>
  <sheets>
    <sheet name="Scenario Summary" sheetId="3" r:id="rId1"/>
    <sheet name="Sheet1" sheetId="1" r:id="rId2"/>
  </sheets>
  <definedNames>
    <definedName name="_xlnm._FilterDatabase" localSheetId="1" hidden="1">Sheet1!$A$1:$K$31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7" i="1" l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36" i="1"/>
  <c r="K36" i="1" s="1"/>
  <c r="N3" i="1"/>
  <c r="N2" i="1"/>
  <c r="K17" i="1"/>
  <c r="J17" i="1"/>
  <c r="I17" i="1"/>
  <c r="K30" i="1"/>
  <c r="J30" i="1"/>
  <c r="I30" i="1"/>
  <c r="K10" i="1"/>
  <c r="J10" i="1"/>
  <c r="I10" i="1"/>
  <c r="K27" i="1"/>
  <c r="J27" i="1"/>
  <c r="I27" i="1"/>
  <c r="K16" i="1"/>
  <c r="J16" i="1"/>
  <c r="I16" i="1"/>
  <c r="K26" i="1"/>
  <c r="J26" i="1"/>
  <c r="I26" i="1"/>
  <c r="K22" i="1"/>
  <c r="J22" i="1"/>
  <c r="I22" i="1"/>
  <c r="K9" i="1"/>
  <c r="J9" i="1"/>
  <c r="I9" i="1"/>
  <c r="K15" i="1"/>
  <c r="J15" i="1"/>
  <c r="I15" i="1"/>
  <c r="K29" i="1"/>
  <c r="J29" i="1"/>
  <c r="I29" i="1"/>
  <c r="K21" i="1"/>
  <c r="J21" i="1"/>
  <c r="I21" i="1"/>
  <c r="K8" i="1"/>
  <c r="J8" i="1"/>
  <c r="I8" i="1"/>
  <c r="K25" i="1"/>
  <c r="J25" i="1"/>
  <c r="I25" i="1"/>
  <c r="K14" i="1"/>
  <c r="J14" i="1"/>
  <c r="I14" i="1"/>
  <c r="K20" i="1"/>
  <c r="J20" i="1"/>
  <c r="I20" i="1"/>
  <c r="L16" i="1"/>
  <c r="K7" i="1"/>
  <c r="J7" i="1"/>
  <c r="I7" i="1"/>
  <c r="K31" i="1"/>
  <c r="J31" i="1"/>
  <c r="I31" i="1"/>
  <c r="K3" i="1"/>
  <c r="J3" i="1"/>
  <c r="I3" i="1"/>
  <c r="L13" i="1"/>
  <c r="K13" i="1"/>
  <c r="J13" i="1"/>
  <c r="I13" i="1"/>
  <c r="K24" i="1"/>
  <c r="J24" i="1"/>
  <c r="I24" i="1"/>
  <c r="K6" i="1"/>
  <c r="J6" i="1"/>
  <c r="I6" i="1"/>
  <c r="L10" i="1"/>
  <c r="K19" i="1"/>
  <c r="J19" i="1"/>
  <c r="I19" i="1"/>
  <c r="K28" i="1"/>
  <c r="J28" i="1"/>
  <c r="I28" i="1"/>
  <c r="K12" i="1"/>
  <c r="J12" i="1"/>
  <c r="I12" i="1"/>
  <c r="L7" i="1"/>
  <c r="K5" i="1"/>
  <c r="J5" i="1"/>
  <c r="I5" i="1"/>
  <c r="K18" i="1"/>
  <c r="J18" i="1"/>
  <c r="I18" i="1"/>
  <c r="K2" i="1"/>
  <c r="J2" i="1"/>
  <c r="I2" i="1"/>
  <c r="K11" i="1"/>
  <c r="J11" i="1"/>
  <c r="I11" i="1"/>
  <c r="K23" i="1"/>
  <c r="J23" i="1"/>
  <c r="I23" i="1"/>
  <c r="K4" i="1"/>
  <c r="J4" i="1"/>
  <c r="I4" i="1"/>
  <c r="L4" i="1" l="1"/>
</calcChain>
</file>

<file path=xl/sharedStrings.xml><?xml version="1.0" encoding="utf-8"?>
<sst xmlns="http://schemas.openxmlformats.org/spreadsheetml/2006/main" count="196" uniqueCount="116">
  <si>
    <t>Date</t>
  </si>
  <si>
    <t>Product</t>
  </si>
  <si>
    <t>Region</t>
  </si>
  <si>
    <t>Salesperson</t>
  </si>
  <si>
    <t>Quantity</t>
  </si>
  <si>
    <t>Sales</t>
  </si>
  <si>
    <t>Cost</t>
  </si>
  <si>
    <t>Profit</t>
  </si>
  <si>
    <t>Cost Bins</t>
  </si>
  <si>
    <t>Profit Bins</t>
  </si>
  <si>
    <t>Sales Bins</t>
  </si>
  <si>
    <t>Laptop</t>
  </si>
  <si>
    <t>North</t>
  </si>
  <si>
    <t>Ravi</t>
  </si>
  <si>
    <t>Mobile</t>
  </si>
  <si>
    <t>South</t>
  </si>
  <si>
    <t>Priya</t>
  </si>
  <si>
    <t>TOTAL COST</t>
  </si>
  <si>
    <t>Tablet</t>
  </si>
  <si>
    <t>East</t>
  </si>
  <si>
    <t>Kiran</t>
  </si>
  <si>
    <t>West</t>
  </si>
  <si>
    <t>Anjali</t>
  </si>
  <si>
    <t>TOTAL PROFIT</t>
  </si>
  <si>
    <t>TOTAL SALES</t>
  </si>
  <si>
    <t>TOP REGION</t>
  </si>
  <si>
    <t>TOP PROFIT SALESPERSON</t>
  </si>
  <si>
    <t>Address</t>
  </si>
  <si>
    <t>main street, jammalamadugu, kadapa</t>
  </si>
  <si>
    <t>DATA ANALYTICS</t>
  </si>
  <si>
    <t>NAME</t>
  </si>
  <si>
    <t>SIVA</t>
  </si>
  <si>
    <t>SHAKAM</t>
  </si>
  <si>
    <t>SURNAME</t>
  </si>
  <si>
    <t>north east</t>
  </si>
  <si>
    <t>Student Name</t>
  </si>
  <si>
    <t>Sem 1 Marks</t>
  </si>
  <si>
    <t>Sem 2 Marks</t>
  </si>
  <si>
    <t>Sem 3 Marks</t>
  </si>
  <si>
    <t>Sem 4 Marks</t>
  </si>
  <si>
    <t>Capstone</t>
  </si>
  <si>
    <t>Overall Score</t>
  </si>
  <si>
    <t>Arjun Kumar</t>
  </si>
  <si>
    <t>Priya Reddy</t>
  </si>
  <si>
    <t>Rahul Sharma</t>
  </si>
  <si>
    <t>Sneha Patel</t>
  </si>
  <si>
    <t>Kiran Rao</t>
  </si>
  <si>
    <t>Anjali Gupta</t>
  </si>
  <si>
    <t>Vivek Verma</t>
  </si>
  <si>
    <t>Pooja Singh</t>
  </si>
  <si>
    <t>Rohan Das</t>
  </si>
  <si>
    <t>Meera Joshi</t>
  </si>
  <si>
    <t>Aditya Nair</t>
  </si>
  <si>
    <t>Kavya Iyer</t>
  </si>
  <si>
    <t>Sandeep Roy</t>
  </si>
  <si>
    <t>Neha Agarwal</t>
  </si>
  <si>
    <t>Manish Yadav</t>
  </si>
  <si>
    <t>Divya Menon</t>
  </si>
  <si>
    <t>Harsha Vardhan</t>
  </si>
  <si>
    <t>Nisha Kapoor</t>
  </si>
  <si>
    <t>Akash Jain</t>
  </si>
  <si>
    <t>Lakshmi Devi</t>
  </si>
  <si>
    <t>MARKS</t>
  </si>
  <si>
    <t>OVERALL SCORE</t>
  </si>
  <si>
    <t>$F$36</t>
  </si>
  <si>
    <t>$G$36</t>
  </si>
  <si>
    <t>$G$37</t>
  </si>
  <si>
    <t>$G$38</t>
  </si>
  <si>
    <t>$G$39</t>
  </si>
  <si>
    <t>$G$40</t>
  </si>
  <si>
    <t>$G$41</t>
  </si>
  <si>
    <t>$G$42</t>
  </si>
  <si>
    <t>$G$43</t>
  </si>
  <si>
    <t>$G$44</t>
  </si>
  <si>
    <t>$G$45</t>
  </si>
  <si>
    <t>$G$46</t>
  </si>
  <si>
    <t>$G$47</t>
  </si>
  <si>
    <t>$G$48</t>
  </si>
  <si>
    <t>$G$49</t>
  </si>
  <si>
    <t>$G$50</t>
  </si>
  <si>
    <t>$G$51</t>
  </si>
  <si>
    <t>$G$52</t>
  </si>
  <si>
    <t>$G$53</t>
  </si>
  <si>
    <t>$G$54</t>
  </si>
  <si>
    <t>$G$55</t>
  </si>
  <si>
    <t>BEST CASE</t>
  </si>
  <si>
    <t>AVERAGE CASE</t>
  </si>
  <si>
    <t>WORST 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</si>
  <si>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</si>
  <si>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</si>
  <si>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</si>
  <si>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</si>
  <si>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</si>
  <si>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</si>
  <si>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</si>
  <si>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$F$37</t>
  </si>
  <si>
    <t>$F$38</t>
  </si>
  <si>
    <t>$F$39</t>
  </si>
  <si>
    <t>$F$40</t>
  </si>
  <si>
    <t>$F$41</t>
  </si>
  <si>
    <t>$F$42</t>
  </si>
  <si>
    <t>$F$43</t>
  </si>
  <si>
    <t>$F$44</t>
  </si>
  <si>
    <t>$F$45</t>
  </si>
  <si>
    <t>$F$46</t>
  </si>
  <si>
    <t>$F$47</t>
  </si>
  <si>
    <t>$F$48</t>
  </si>
  <si>
    <t>$F$49</t>
  </si>
  <si>
    <t>$F$50</t>
  </si>
  <si>
    <t>$F$51</t>
  </si>
  <si>
    <t>$F$52</t>
  </si>
  <si>
    <t>$F$53</t>
  </si>
  <si>
    <t>$F$54</t>
  </si>
  <si>
    <t>$F$55</t>
  </si>
  <si>
    <t>Created by MITS on 08-06-2026
Modified by MITS on 08-06-2026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</si>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</sst>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2" fillId="2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3" fillId="3" borderId="0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0" fillId="4" borderId="0" xfId="0" applyFill="1" applyBorder="1" applyAlignment="1"/>
    <xf numFmtId="0" fontId="6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28FD-B05D-4961-9C45-2AF46C93ED29}">
  <sheetPr>
    <outlinePr summaryBelow="0"/>
  </sheetPr>
  <dimension ref="B1:L49"/>
  <sheetViews>
    <sheetView showGridLines="0" topLeftCell="A17" workbookViewId="0">
      <selection activeCell="Q28" sqref="Q28"/>
    </sheetView>
  </sheetViews>
  <sheetFormatPr defaultRowHeight="15" outlineLevelRow="1" outlineLevelCol="1" x14ac:dyDescent="0.25"/>
  <cols>
    <col min="3" max="3" width="6.42578125" bestFit="1" customWidth="1"/>
    <col min="4" max="7" width="13.140625" bestFit="1" customWidth="1" outlineLevel="1"/>
  </cols>
  <sheetData>
    <row r="1" spans="2:7" ht="15.75" thickBot="1" x14ac:dyDescent="0.3"/>
    <row r="2" spans="2:7" ht="15.75" x14ac:dyDescent="0.25">
      <c r="B2" s="13" t="s">
        <v>88</v>
      </c>
      <c r="C2" s="13"/>
      <c r="D2" s="18"/>
      <c r="E2" s="18"/>
      <c r="F2" s="18"/>
      <c r="G2" s="18"/>
    </row>
    <row r="3" spans="2:7" ht="15.75" collapsed="1" x14ac:dyDescent="0.25">
      <c r="B3" s="12"/>
      <c r="C3" s="12"/>
      <c r="D3" s="19" t="s">
        <v>90</v>
      </c>
      <c r="E3" s="19" t="s">
        <v>85</v>
      </c>
      <c r="F3" s="19" t="s">
        <v>86</v>
      </c>
      <c r="G3" s="19" t="s">
        <v>87</v>
      </c>
    </row>
    <row r="4" spans="2:7" ht="45" hidden="1" outlineLevel="1" x14ac:dyDescent="0.25">
      <c r="B4" s="15"/>
      <c r="C4" s="15"/>
      <c r="D4" s="10"/>
      <c r="E4" s="21" t="s">
        <v>114</v>
      </c>
      <c r="F4" s="21" t="s">
        <v>114</v>
      </c>
      <c r="G4" s="21" t="s">
        <v>114</v>
      </c>
    </row>
    <row r="5" spans="2:7" x14ac:dyDescent="0.25">
      <c r="B5" s="16" t="s">
        <v>89</v>
      </c>
      <c r="C5" s="16"/>
      <c r="D5" s="14"/>
      <c r="E5" s="14"/>
      <c r="F5" s="14"/>
      <c r="G5" s="14"/>
    </row>
    <row r="6" spans="2:7" outlineLevel="1" x14ac:dyDescent="0.25">
      <c r="B6" s="15"/>
      <c r="C6" s="15" t="s">
        <v>64</v>
      </c>
      <c r="D6" s="10">
        <v>60</v>
      </c>
      <c r="E6" s="20">
        <v>100</v>
      </c>
      <c r="F6" s="20">
        <v>80</v>
      </c>
      <c r="G6" s="20">
        <v>60</v>
      </c>
    </row>
    <row r="7" spans="2:7" outlineLevel="1" x14ac:dyDescent="0.25">
      <c r="B7" s="15"/>
      <c r="C7" s="15" t="s">
        <v>95</v>
      </c>
      <c r="D7" s="10">
        <v>60</v>
      </c>
      <c r="E7" s="20">
        <v>100</v>
      </c>
      <c r="F7" s="20">
        <v>80</v>
      </c>
      <c r="G7" s="20">
        <v>60</v>
      </c>
    </row>
    <row r="8" spans="2:7" outlineLevel="1" x14ac:dyDescent="0.25">
      <c r="B8" s="15"/>
      <c r="C8" s="15" t="s">
        <v>96</v>
      </c>
      <c r="D8" s="10">
        <v>60</v>
      </c>
      <c r="E8" s="20">
        <v>100</v>
      </c>
      <c r="F8" s="20">
        <v>80</v>
      </c>
      <c r="G8" s="20">
        <v>60</v>
      </c>
    </row>
    <row r="9" spans="2:7" outlineLevel="1" x14ac:dyDescent="0.25">
      <c r="B9" s="15"/>
      <c r="C9" s="15" t="s">
        <v>97</v>
      </c>
      <c r="D9" s="10">
        <v>60</v>
      </c>
      <c r="E9" s="20">
        <v>100</v>
      </c>
      <c r="F9" s="20">
        <v>80</v>
      </c>
      <c r="G9" s="20">
        <v>60</v>
      </c>
    </row>
    <row r="10" spans="2:7" outlineLevel="1" x14ac:dyDescent="0.25">
      <c r="B10" s="15"/>
      <c r="C10" s="15" t="s">
        <v>98</v>
      </c>
      <c r="D10" s="10">
        <v>60</v>
      </c>
      <c r="E10" s="20">
        <v>100</v>
      </c>
      <c r="F10" s="20">
        <v>80</v>
      </c>
      <c r="G10" s="20">
        <v>60</v>
      </c>
    </row>
    <row r="11" spans="2:7" outlineLevel="1" x14ac:dyDescent="0.25">
      <c r="B11" s="15"/>
      <c r="C11" s="15" t="s">
        <v>99</v>
      </c>
      <c r="D11" s="10">
        <v>60</v>
      </c>
      <c r="E11" s="20">
        <v>100</v>
      </c>
      <c r="F11" s="20">
        <v>80</v>
      </c>
      <c r="G11" s="20">
        <v>60</v>
      </c>
    </row>
    <row r="12" spans="2:7" outlineLevel="1" x14ac:dyDescent="0.25">
      <c r="B12" s="15"/>
      <c r="C12" s="15" t="s">
        <v>100</v>
      </c>
      <c r="D12" s="10">
        <v>60</v>
      </c>
      <c r="E12" s="20">
        <v>100</v>
      </c>
      <c r="F12" s="20">
        <v>80</v>
      </c>
      <c r="G12" s="20">
        <v>60</v>
      </c>
    </row>
    <row r="13" spans="2:7" outlineLevel="1" x14ac:dyDescent="0.25">
      <c r="B13" s="15"/>
      <c r="C13" s="15" t="s">
        <v>101</v>
      </c>
      <c r="D13" s="10">
        <v>60</v>
      </c>
      <c r="E13" s="20">
        <v>100</v>
      </c>
      <c r="F13" s="20">
        <v>80</v>
      </c>
      <c r="G13" s="20">
        <v>60</v>
      </c>
    </row>
    <row r="14" spans="2:7" outlineLevel="1" x14ac:dyDescent="0.25">
      <c r="B14" s="15"/>
      <c r="C14" s="15" t="s">
        <v>102</v>
      </c>
      <c r="D14" s="10">
        <v>60</v>
      </c>
      <c r="E14" s="20">
        <v>100</v>
      </c>
      <c r="F14" s="20">
        <v>80</v>
      </c>
      <c r="G14" s="20">
        <v>60</v>
      </c>
    </row>
    <row r="15" spans="2:7" outlineLevel="1" x14ac:dyDescent="0.25">
      <c r="B15" s="15"/>
      <c r="C15" s="15" t="s">
        <v>103</v>
      </c>
      <c r="D15" s="10">
        <v>60</v>
      </c>
      <c r="E15" s="20">
        <v>100</v>
      </c>
      <c r="F15" s="20">
        <v>80</v>
      </c>
      <c r="G15" s="20">
        <v>60</v>
      </c>
    </row>
    <row r="16" spans="2:7" outlineLevel="1" x14ac:dyDescent="0.25">
      <c r="B16" s="15"/>
      <c r="C16" s="15" t="s">
        <v>104</v>
      </c>
      <c r="D16" s="10">
        <v>60</v>
      </c>
      <c r="E16" s="20">
        <v>100</v>
      </c>
      <c r="F16" s="20">
        <v>80</v>
      </c>
      <c r="G16" s="20">
        <v>60</v>
      </c>
    </row>
    <row r="17" spans="2:7" outlineLevel="1" x14ac:dyDescent="0.25">
      <c r="B17" s="15"/>
      <c r="C17" s="15" t="s">
        <v>105</v>
      </c>
      <c r="D17" s="10">
        <v>60</v>
      </c>
      <c r="E17" s="20">
        <v>100</v>
      </c>
      <c r="F17" s="20">
        <v>80</v>
      </c>
      <c r="G17" s="20">
        <v>60</v>
      </c>
    </row>
    <row r="18" spans="2:7" outlineLevel="1" x14ac:dyDescent="0.25">
      <c r="B18" s="15"/>
      <c r="C18" s="15" t="s">
        <v>106</v>
      </c>
      <c r="D18" s="10">
        <v>60</v>
      </c>
      <c r="E18" s="20">
        <v>100</v>
      </c>
      <c r="F18" s="20">
        <v>80</v>
      </c>
      <c r="G18" s="20">
        <v>60</v>
      </c>
    </row>
    <row r="19" spans="2:7" outlineLevel="1" x14ac:dyDescent="0.25">
      <c r="B19" s="15"/>
      <c r="C19" s="15" t="s">
        <v>107</v>
      </c>
      <c r="D19" s="10">
        <v>60</v>
      </c>
      <c r="E19" s="20">
        <v>100</v>
      </c>
      <c r="F19" s="20">
        <v>80</v>
      </c>
      <c r="G19" s="20">
        <v>60</v>
      </c>
    </row>
    <row r="20" spans="2:7" outlineLevel="1" x14ac:dyDescent="0.25">
      <c r="B20" s="15"/>
      <c r="C20" s="15" t="s">
        <v>108</v>
      </c>
      <c r="D20" s="10">
        <v>60</v>
      </c>
      <c r="E20" s="20">
        <v>100</v>
      </c>
      <c r="F20" s="20">
        <v>80</v>
      </c>
      <c r="G20" s="20">
        <v>60</v>
      </c>
    </row>
    <row r="21" spans="2:7" outlineLevel="1" x14ac:dyDescent="0.25">
      <c r="B21" s="15"/>
      <c r="C21" s="15" t="s">
        <v>109</v>
      </c>
      <c r="D21" s="10">
        <v>60</v>
      </c>
      <c r="E21" s="20">
        <v>100</v>
      </c>
      <c r="F21" s="20">
        <v>80</v>
      </c>
      <c r="G21" s="20">
        <v>60</v>
      </c>
    </row>
    <row r="22" spans="2:7" outlineLevel="1" x14ac:dyDescent="0.25">
      <c r="B22" s="15"/>
      <c r="C22" s="15" t="s">
        <v>110</v>
      </c>
      <c r="D22" s="10">
        <v>60</v>
      </c>
      <c r="E22" s="20">
        <v>100</v>
      </c>
      <c r="F22" s="20">
        <v>80</v>
      </c>
      <c r="G22" s="20">
        <v>60</v>
      </c>
    </row>
    <row r="23" spans="2:7" outlineLevel="1" x14ac:dyDescent="0.25">
      <c r="B23" s="15"/>
      <c r="C23" s="15" t="s">
        <v>111</v>
      </c>
      <c r="D23" s="10">
        <v>60</v>
      </c>
      <c r="E23" s="20">
        <v>100</v>
      </c>
      <c r="F23" s="20">
        <v>80</v>
      </c>
      <c r="G23" s="20">
        <v>60</v>
      </c>
    </row>
    <row r="24" spans="2:7" outlineLevel="1" x14ac:dyDescent="0.25">
      <c r="B24" s="15"/>
      <c r="C24" s="15" t="s">
        <v>112</v>
      </c>
      <c r="D24" s="10">
        <v>60</v>
      </c>
      <c r="E24" s="20">
        <v>100</v>
      </c>
      <c r="F24" s="20">
        <v>80</v>
      </c>
      <c r="G24" s="20">
        <v>60</v>
      </c>
    </row>
    <row r="25" spans="2:7" outlineLevel="1" x14ac:dyDescent="0.25">
      <c r="B25" s="15"/>
      <c r="C25" s="15" t="s">
        <v>113</v>
      </c>
      <c r="D25" s="10">
        <v>60</v>
      </c>
      <c r="E25" s="20">
        <v>100</v>
      </c>
      <c r="F25" s="20">
        <v>80</v>
      </c>
      <c r="G25" s="20">
        <v>60</v>
      </c>
    </row>
    <row r="26" spans="2:7" x14ac:dyDescent="0.25">
      <c r="B26" s="16" t="s">
        <v>91</v>
      </c>
      <c r="C26" s="16"/>
      <c r="D26" s="14"/>
      <c r="E26" s="14"/>
      <c r="F26" s="14"/>
      <c r="G26" s="14"/>
    </row>
    <row r="27" spans="2:7" outlineLevel="1" x14ac:dyDescent="0.25">
      <c r="B27" s="15"/>
      <c r="C27" s="15" t="s">
        <v>65</v>
      </c>
      <c r="D27" s="10">
        <v>77</v>
      </c>
      <c r="E27" s="10">
        <v>85</v>
      </c>
      <c r="F27" s="10">
        <v>81</v>
      </c>
      <c r="G27" s="10">
        <v>77</v>
      </c>
    </row>
    <row r="28" spans="2:7" outlineLevel="1" x14ac:dyDescent="0.25">
      <c r="B28" s="15"/>
      <c r="C28" s="15" t="s">
        <v>66</v>
      </c>
      <c r="D28" s="10">
        <v>82</v>
      </c>
      <c r="E28" s="10">
        <v>90</v>
      </c>
      <c r="F28" s="10">
        <v>86</v>
      </c>
      <c r="G28" s="10">
        <v>82</v>
      </c>
    </row>
    <row r="29" spans="2:7" outlineLevel="1" x14ac:dyDescent="0.25">
      <c r="B29" s="15"/>
      <c r="C29" s="15" t="s">
        <v>67</v>
      </c>
      <c r="D29" s="10">
        <v>71.8</v>
      </c>
      <c r="E29" s="10">
        <v>79.8</v>
      </c>
      <c r="F29" s="10">
        <v>75.8</v>
      </c>
      <c r="G29" s="10">
        <v>71.8</v>
      </c>
    </row>
    <row r="30" spans="2:7" outlineLevel="1" x14ac:dyDescent="0.25">
      <c r="B30" s="15"/>
      <c r="C30" s="15" t="s">
        <v>68</v>
      </c>
      <c r="D30" s="10">
        <v>85.6</v>
      </c>
      <c r="E30" s="10">
        <v>93.6</v>
      </c>
      <c r="F30" s="10">
        <v>89.6</v>
      </c>
      <c r="G30" s="10">
        <v>85.6</v>
      </c>
    </row>
    <row r="31" spans="2:7" outlineLevel="1" x14ac:dyDescent="0.25">
      <c r="B31" s="15"/>
      <c r="C31" s="15" t="s">
        <v>69</v>
      </c>
      <c r="D31" s="10">
        <v>69</v>
      </c>
      <c r="E31" s="10">
        <v>77</v>
      </c>
      <c r="F31" s="10">
        <v>73</v>
      </c>
      <c r="G31" s="10">
        <v>69</v>
      </c>
    </row>
    <row r="32" spans="2:7" outlineLevel="1" x14ac:dyDescent="0.25">
      <c r="B32" s="15"/>
      <c r="C32" s="15" t="s">
        <v>70</v>
      </c>
      <c r="D32" s="10">
        <v>80.599999999999994</v>
      </c>
      <c r="E32" s="10">
        <v>88.6</v>
      </c>
      <c r="F32" s="10">
        <v>84.6</v>
      </c>
      <c r="G32" s="10">
        <v>80.599999999999994</v>
      </c>
    </row>
    <row r="33" spans="2:12" outlineLevel="1" x14ac:dyDescent="0.25">
      <c r="B33" s="15"/>
      <c r="C33" s="15" t="s">
        <v>71</v>
      </c>
      <c r="D33" s="10">
        <v>75.2</v>
      </c>
      <c r="E33" s="10">
        <v>83.2</v>
      </c>
      <c r="F33" s="10">
        <v>79.2</v>
      </c>
      <c r="G33" s="10">
        <v>75.2</v>
      </c>
    </row>
    <row r="34" spans="2:12" outlineLevel="1" x14ac:dyDescent="0.25">
      <c r="B34" s="15"/>
      <c r="C34" s="15" t="s">
        <v>72</v>
      </c>
      <c r="D34" s="10">
        <v>83.6</v>
      </c>
      <c r="E34" s="10">
        <v>91.6</v>
      </c>
      <c r="F34" s="10">
        <v>87.6</v>
      </c>
      <c r="G34" s="10">
        <v>83.6</v>
      </c>
      <c r="L34" t="s">
        <v>115</v>
      </c>
    </row>
    <row r="35" spans="2:12" outlineLevel="1" x14ac:dyDescent="0.25">
      <c r="B35" s="15"/>
      <c r="C35" s="15" t="s">
        <v>73</v>
      </c>
      <c r="D35" s="10">
        <v>66.400000000000006</v>
      </c>
      <c r="E35" s="10">
        <v>74.400000000000006</v>
      </c>
      <c r="F35" s="10">
        <v>70.400000000000006</v>
      </c>
      <c r="G35" s="10">
        <v>66.400000000000006</v>
      </c>
    </row>
    <row r="36" spans="2:12" outlineLevel="1" x14ac:dyDescent="0.25">
      <c r="B36" s="15"/>
      <c r="C36" s="15" t="s">
        <v>74</v>
      </c>
      <c r="D36" s="10">
        <v>86.8</v>
      </c>
      <c r="E36" s="10">
        <v>94.8</v>
      </c>
      <c r="F36" s="10">
        <v>90.8</v>
      </c>
      <c r="G36" s="10">
        <v>86.8</v>
      </c>
    </row>
    <row r="37" spans="2:12" outlineLevel="1" x14ac:dyDescent="0.25">
      <c r="B37" s="15"/>
      <c r="C37" s="15" t="s">
        <v>75</v>
      </c>
      <c r="D37" s="10">
        <v>77.8</v>
      </c>
      <c r="E37" s="10">
        <v>85.8</v>
      </c>
      <c r="F37" s="10">
        <v>81.8</v>
      </c>
      <c r="G37" s="10">
        <v>77.8</v>
      </c>
    </row>
    <row r="38" spans="2:12" outlineLevel="1" x14ac:dyDescent="0.25">
      <c r="B38" s="15"/>
      <c r="C38" s="15" t="s">
        <v>76</v>
      </c>
      <c r="D38" s="10">
        <v>83.4</v>
      </c>
      <c r="E38" s="10">
        <v>91.4</v>
      </c>
      <c r="F38" s="10">
        <v>87.4</v>
      </c>
      <c r="G38" s="10">
        <v>83.4</v>
      </c>
    </row>
    <row r="39" spans="2:12" outlineLevel="1" x14ac:dyDescent="0.25">
      <c r="B39" s="15"/>
      <c r="C39" s="15" t="s">
        <v>77</v>
      </c>
      <c r="D39" s="10">
        <v>72.599999999999994</v>
      </c>
      <c r="E39" s="10">
        <v>80.599999999999994</v>
      </c>
      <c r="F39" s="10">
        <v>76.599999999999994</v>
      </c>
      <c r="G39" s="10">
        <v>72.599999999999994</v>
      </c>
    </row>
    <row r="40" spans="2:12" outlineLevel="1" x14ac:dyDescent="0.25">
      <c r="B40" s="15"/>
      <c r="C40" s="15" t="s">
        <v>78</v>
      </c>
      <c r="D40" s="10">
        <v>84.4</v>
      </c>
      <c r="E40" s="10">
        <v>92.4</v>
      </c>
      <c r="F40" s="10">
        <v>88.4</v>
      </c>
      <c r="G40" s="10">
        <v>84.4</v>
      </c>
    </row>
    <row r="41" spans="2:12" outlineLevel="1" x14ac:dyDescent="0.25">
      <c r="B41" s="15"/>
      <c r="C41" s="15" t="s">
        <v>79</v>
      </c>
      <c r="D41" s="10">
        <v>69.8</v>
      </c>
      <c r="E41" s="10">
        <v>77.8</v>
      </c>
      <c r="F41" s="10">
        <v>73.8</v>
      </c>
      <c r="G41" s="10">
        <v>69.8</v>
      </c>
    </row>
    <row r="42" spans="2:12" outlineLevel="1" x14ac:dyDescent="0.25">
      <c r="B42" s="15"/>
      <c r="C42" s="15" t="s">
        <v>80</v>
      </c>
      <c r="D42" s="10">
        <v>88.4</v>
      </c>
      <c r="E42" s="10">
        <v>96.4</v>
      </c>
      <c r="F42" s="10">
        <v>92.4</v>
      </c>
      <c r="G42" s="10">
        <v>88.4</v>
      </c>
    </row>
    <row r="43" spans="2:12" outlineLevel="1" x14ac:dyDescent="0.25">
      <c r="B43" s="15"/>
      <c r="C43" s="15" t="s">
        <v>81</v>
      </c>
      <c r="D43" s="10">
        <v>79</v>
      </c>
      <c r="E43" s="10">
        <v>87</v>
      </c>
      <c r="F43" s="10">
        <v>83</v>
      </c>
      <c r="G43" s="10">
        <v>79</v>
      </c>
    </row>
    <row r="44" spans="2:12" outlineLevel="1" x14ac:dyDescent="0.25">
      <c r="B44" s="15"/>
      <c r="C44" s="15" t="s">
        <v>82</v>
      </c>
      <c r="D44" s="10">
        <v>82</v>
      </c>
      <c r="E44" s="10">
        <v>90</v>
      </c>
      <c r="F44" s="10">
        <v>86</v>
      </c>
      <c r="G44" s="10">
        <v>82</v>
      </c>
    </row>
    <row r="45" spans="2:12" outlineLevel="1" x14ac:dyDescent="0.25">
      <c r="B45" s="15"/>
      <c r="C45" s="15" t="s">
        <v>83</v>
      </c>
      <c r="D45" s="10">
        <v>74.8</v>
      </c>
      <c r="E45" s="10">
        <v>82.8</v>
      </c>
      <c r="F45" s="10">
        <v>78.8</v>
      </c>
      <c r="G45" s="10">
        <v>74.8</v>
      </c>
    </row>
    <row r="46" spans="2:12" ht="15.75" outlineLevel="1" thickBot="1" x14ac:dyDescent="0.3">
      <c r="B46" s="17"/>
      <c r="C46" s="17" t="s">
        <v>84</v>
      </c>
      <c r="D46" s="11">
        <v>85.8</v>
      </c>
      <c r="E46" s="11">
        <v>93.8</v>
      </c>
      <c r="F46" s="11">
        <v>89.8</v>
      </c>
      <c r="G46" s="11">
        <v>85.8</v>
      </c>
    </row>
    <row r="47" spans="2:12" x14ac:dyDescent="0.25">
      <c r="B47" t="s">
        <v>92</v>
      </c>
    </row>
    <row r="48" spans="2:12" x14ac:dyDescent="0.25">
      <c r="B48" t="s">
        <v>93</v>
      </c>
    </row>
    <row r="49" spans="2:2" x14ac:dyDescent="0.25">
      <c r="B49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75D7A-745B-45B7-B649-86128BA4690B}">
  <dimension ref="A1:R56"/>
  <sheetViews>
    <sheetView tabSelected="1" topLeftCell="A27" workbookViewId="0">
      <selection activeCell="F37" sqref="F37"/>
    </sheetView>
  </sheetViews>
  <sheetFormatPr defaultRowHeight="15" x14ac:dyDescent="0.25"/>
  <cols>
    <col min="3" max="3" width="11.42578125" customWidth="1"/>
    <col min="4" max="4" width="11.5703125" customWidth="1"/>
    <col min="9" max="9" width="16.28515625" customWidth="1"/>
    <col min="10" max="10" width="14.28515625" customWidth="1"/>
    <col min="11" max="11" width="15.28515625" customWidth="1"/>
    <col min="12" max="12" width="23.7109375" customWidth="1"/>
    <col min="13" max="13" width="8.7109375" customWidth="1"/>
    <col min="18" max="18" width="9.5703125" customWidth="1"/>
  </cols>
  <sheetData>
    <row r="1" spans="1:1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M1" s="2" t="s">
        <v>27</v>
      </c>
    </row>
    <row r="2" spans="1:18" ht="75" x14ac:dyDescent="0.25">
      <c r="A2" s="3">
        <v>45661</v>
      </c>
      <c r="B2" s="4" t="s">
        <v>11</v>
      </c>
      <c r="C2" s="4" t="s">
        <v>21</v>
      </c>
      <c r="D2" s="4" t="s">
        <v>22</v>
      </c>
      <c r="E2" s="4">
        <v>1</v>
      </c>
      <c r="F2" s="4">
        <v>50000</v>
      </c>
      <c r="G2" s="4">
        <v>43000</v>
      </c>
      <c r="H2" s="4">
        <v>7000</v>
      </c>
      <c r="I2" t="str">
        <f>_xlfn.IFS(G2&gt;100000,"ABOVE 100000",G2&gt;=70000,"70000 TO 100000",G2&gt;=50000,"50000 TO 69999",G2&lt;50000,"BELOW 50000")</f>
        <v>BELOW 50000</v>
      </c>
      <c r="J2" t="str">
        <f>_xlfn.IFS(H2&gt;20000,"ABOVE 20000",H2&gt;=15000,"15000 TO 19999",H2&gt;=10000,"10000 TO 14999",H2&lt;10000,"BELOW 10000")</f>
        <v>BELOW 10000</v>
      </c>
      <c r="K2" t="str">
        <f>_xlfn.IFS(F2&gt;100000,"ABOVE 100000",F2&gt;=70000,"70000 TO 100000",F2&gt;=50000,"50000 TO 69999",F2&lt;50000,"BELOW 50000")</f>
        <v>50000 TO 69999</v>
      </c>
      <c r="M2" s="7" t="s">
        <v>28</v>
      </c>
      <c r="N2" t="e">
        <f>G2/B2</f>
        <v>#VALUE!</v>
      </c>
      <c r="Q2" t="s">
        <v>30</v>
      </c>
      <c r="R2" t="s">
        <v>33</v>
      </c>
    </row>
    <row r="3" spans="1:18" x14ac:dyDescent="0.25">
      <c r="A3" s="3">
        <v>45670</v>
      </c>
      <c r="B3" s="4" t="s">
        <v>11</v>
      </c>
      <c r="C3" s="4" t="s">
        <v>12</v>
      </c>
      <c r="D3" s="4" t="s">
        <v>13</v>
      </c>
      <c r="E3" s="4">
        <v>1</v>
      </c>
      <c r="F3" s="4">
        <v>50000</v>
      </c>
      <c r="G3" s="4">
        <v>42000</v>
      </c>
      <c r="H3" s="4">
        <v>8000</v>
      </c>
      <c r="I3" t="str">
        <f>_xlfn.IFS(G3&gt;100000,"ABOVE 100000",G3&gt;=70000,"70000 TO 100000",G3&gt;=50000,"50000 TO 69999",G3&lt;50000,"BELOW 50000")</f>
        <v>BELOW 50000</v>
      </c>
      <c r="J3" t="str">
        <f>_xlfn.IFS(H3&gt;20000,"ABOVE 20000",H3&gt;=15000,"15000 TO 19999",H3&gt;=10000,"10000 TO 14999",H3&lt;10000,"BELOW 10000")</f>
        <v>BELOW 10000</v>
      </c>
      <c r="K3" t="str">
        <f>_xlfn.IFS(F3&gt;100000,"ABOVE 100000",F3&gt;=70000,"70000 TO 100000",F3&gt;=50000,"50000 TO 69999",F3&lt;50000,"BELOW 50000")</f>
        <v>50000 TO 69999</v>
      </c>
      <c r="L3" t="s">
        <v>17</v>
      </c>
      <c r="N3" t="e">
        <f>G3/0</f>
        <v>#DIV/0!</v>
      </c>
      <c r="O3" s="8" t="s">
        <v>29</v>
      </c>
      <c r="P3" s="8"/>
      <c r="Q3" t="s">
        <v>31</v>
      </c>
      <c r="R3" t="s">
        <v>32</v>
      </c>
    </row>
    <row r="4" spans="1:18" x14ac:dyDescent="0.25">
      <c r="A4" s="3">
        <v>45658</v>
      </c>
      <c r="B4" s="4" t="s">
        <v>11</v>
      </c>
      <c r="C4" s="4" t="s">
        <v>12</v>
      </c>
      <c r="D4" s="4" t="s">
        <v>13</v>
      </c>
      <c r="E4" s="4">
        <v>2</v>
      </c>
      <c r="F4" s="4">
        <v>100000</v>
      </c>
      <c r="G4" s="4">
        <v>85000</v>
      </c>
      <c r="H4" s="4">
        <v>15000</v>
      </c>
      <c r="I4" t="str">
        <f>_xlfn.IFS(G4&gt;100000,"ABOVE 100000",G4&gt;=70000,"70000 TO 100000",G4&gt;=50000,"50000 TO 69999",G4&lt;50000,"BELOW 50000")</f>
        <v>70000 TO 100000</v>
      </c>
      <c r="J4" t="str">
        <f>_xlfn.IFS(H4&gt;20000,"ABOVE 20000",H4&gt;=15000,"15000 TO 19999",H4&gt;=10000,"10000 TO 14999",H4&lt;10000,"BELOW 10000")</f>
        <v>15000 TO 19999</v>
      </c>
      <c r="K4" t="str">
        <f>_xlfn.IFS(F4&gt;100000,"ABOVE 100000",F4&gt;=70000,"70000 TO 100000",F4&gt;=50000,"50000 TO 69999",F4&lt;50000,"BELOW 50000")</f>
        <v>70000 TO 100000</v>
      </c>
      <c r="L4" s="5">
        <f>SUM(G:G)</f>
        <v>2097575.9999999995</v>
      </c>
    </row>
    <row r="5" spans="1:18" x14ac:dyDescent="0.25">
      <c r="A5" s="3">
        <v>45663</v>
      </c>
      <c r="B5" s="4" t="s">
        <v>18</v>
      </c>
      <c r="C5" s="4" t="s">
        <v>15</v>
      </c>
      <c r="D5" s="4" t="s">
        <v>16</v>
      </c>
      <c r="E5" s="4">
        <v>2</v>
      </c>
      <c r="F5" s="4">
        <v>30000</v>
      </c>
      <c r="G5" s="4">
        <v>25000</v>
      </c>
      <c r="H5" s="4">
        <v>5000</v>
      </c>
      <c r="I5" t="str">
        <f>_xlfn.IFS(G5&gt;100000,"ABOVE 100000",G5&gt;=70000,"70000 TO 100000",G5&gt;=50000,"50000 TO 69999",G5&lt;50000,"BELOW 50000")</f>
        <v>BELOW 50000</v>
      </c>
      <c r="J5" t="str">
        <f>_xlfn.IFS(H5&gt;20000,"ABOVE 20000",H5&gt;=15000,"15000 TO 19999",H5&gt;=10000,"10000 TO 14999",H5&lt;10000,"BELOW 10000")</f>
        <v>BELOW 10000</v>
      </c>
      <c r="K5" t="str">
        <f>_xlfn.IFS(F5&gt;100000,"ABOVE 100000",F5&gt;=70000,"70000 TO 100000",F5&gt;=50000,"50000 TO 69999",F5&lt;50000,"BELOW 50000")</f>
        <v>BELOW 50000</v>
      </c>
      <c r="O5" s="9"/>
    </row>
    <row r="6" spans="1:18" x14ac:dyDescent="0.25">
      <c r="A6" s="3">
        <v>45667</v>
      </c>
      <c r="B6" s="4" t="s">
        <v>11</v>
      </c>
      <c r="C6" s="4" t="s">
        <v>15</v>
      </c>
      <c r="D6" s="4" t="s">
        <v>16</v>
      </c>
      <c r="E6" s="4">
        <v>2</v>
      </c>
      <c r="F6" s="4">
        <v>100000</v>
      </c>
      <c r="G6" s="4">
        <v>84000</v>
      </c>
      <c r="H6" s="4">
        <v>16000</v>
      </c>
      <c r="I6" t="str">
        <f>_xlfn.IFS(G6&gt;100000,"ABOVE 100000",G6&gt;=70000,"70000 TO 100000",G6&gt;=50000,"50000 TO 69999",G6&lt;50000,"BELOW 50000")</f>
        <v>70000 TO 100000</v>
      </c>
      <c r="J6" t="str">
        <f>_xlfn.IFS(H6&gt;20000,"ABOVE 20000",H6&gt;=15000,"15000 TO 19999",H6&gt;=10000,"10000 TO 14999",H6&lt;10000,"BELOW 10000")</f>
        <v>15000 TO 19999</v>
      </c>
      <c r="K6" t="str">
        <f>_xlfn.IFS(F6&gt;100000,"ABOVE 100000",F6&gt;=70000,"70000 TO 100000",F6&gt;=50000,"50000 TO 69999",F6&lt;50000,"BELOW 50000")</f>
        <v>70000 TO 100000</v>
      </c>
      <c r="L6" t="s">
        <v>23</v>
      </c>
    </row>
    <row r="7" spans="1:18" x14ac:dyDescent="0.25">
      <c r="A7" s="3">
        <v>45672</v>
      </c>
      <c r="B7" s="4" t="s">
        <v>18</v>
      </c>
      <c r="C7" s="4" t="s">
        <v>19</v>
      </c>
      <c r="D7" s="4" t="s">
        <v>20</v>
      </c>
      <c r="E7" s="4">
        <v>2</v>
      </c>
      <c r="F7" s="4">
        <v>30000</v>
      </c>
      <c r="G7" s="4">
        <v>25000</v>
      </c>
      <c r="H7" s="4">
        <v>5000</v>
      </c>
      <c r="I7" t="str">
        <f>_xlfn.IFS(G7&gt;100000,"ABOVE 100000",G7&gt;=70000,"70000 TO 100000",G7&gt;=50000,"50000 TO 69999",G7&lt;50000,"BELOW 50000")</f>
        <v>BELOW 50000</v>
      </c>
      <c r="J7" t="str">
        <f>_xlfn.IFS(H7&gt;20000,"ABOVE 20000",H7&gt;=15000,"15000 TO 19999",H7&gt;=10000,"10000 TO 14999",H7&lt;10000,"BELOW 10000")</f>
        <v>BELOW 10000</v>
      </c>
      <c r="K7" t="str">
        <f>_xlfn.IFS(F7&gt;100000,"ABOVE 100000",F7&gt;=70000,"70000 TO 100000",F7&gt;=50000,"50000 TO 69999",F7&lt;50000,"BELOW 50000")</f>
        <v>BELOW 50000</v>
      </c>
      <c r="L7" s="5">
        <f>SUM(H:H)</f>
        <v>384000</v>
      </c>
    </row>
    <row r="8" spans="1:18" x14ac:dyDescent="0.25">
      <c r="A8" s="3">
        <v>45676</v>
      </c>
      <c r="B8" s="4" t="s">
        <v>11</v>
      </c>
      <c r="C8" s="4" t="s">
        <v>19</v>
      </c>
      <c r="D8" s="4" t="s">
        <v>20</v>
      </c>
      <c r="E8" s="4">
        <v>2</v>
      </c>
      <c r="F8" s="4">
        <v>100000</v>
      </c>
      <c r="G8" s="4">
        <v>85000</v>
      </c>
      <c r="H8" s="4">
        <v>15000</v>
      </c>
      <c r="I8" t="str">
        <f>_xlfn.IFS(G8&gt;100000,"ABOVE 100000",G8&gt;=70000,"70000 TO 100000",G8&gt;=50000,"50000 TO 69999",G8&lt;50000,"BELOW 50000")</f>
        <v>70000 TO 100000</v>
      </c>
      <c r="J8" t="str">
        <f>_xlfn.IFS(H8&gt;20000,"ABOVE 20000",H8&gt;=15000,"15000 TO 19999",H8&gt;=10000,"10000 TO 14999",H8&lt;10000,"BELOW 10000")</f>
        <v>15000 TO 19999</v>
      </c>
      <c r="K8" t="str">
        <f>_xlfn.IFS(F8&gt;100000,"ABOVE 100000",F8&gt;=70000,"70000 TO 100000",F8&gt;=50000,"50000 TO 69999",F8&lt;50000,"BELOW 50000")</f>
        <v>70000 TO 100000</v>
      </c>
    </row>
    <row r="9" spans="1:18" x14ac:dyDescent="0.25">
      <c r="A9" s="3">
        <v>45680</v>
      </c>
      <c r="B9" s="4" t="s">
        <v>14</v>
      </c>
      <c r="C9" s="4" t="s">
        <v>19</v>
      </c>
      <c r="D9" s="4" t="s">
        <v>20</v>
      </c>
      <c r="E9" s="4">
        <v>2</v>
      </c>
      <c r="F9" s="4">
        <v>30000</v>
      </c>
      <c r="G9" s="4">
        <v>25000</v>
      </c>
      <c r="H9" s="4">
        <v>5000</v>
      </c>
      <c r="I9" t="str">
        <f>_xlfn.IFS(G9&gt;100000,"ABOVE 100000",G9&gt;=70000,"70000 TO 100000",G9&gt;=50000,"50000 TO 69999",G9&lt;50000,"BELOW 50000")</f>
        <v>BELOW 50000</v>
      </c>
      <c r="J9" t="str">
        <f>_xlfn.IFS(H9&gt;20000,"ABOVE 20000",H9&gt;=15000,"15000 TO 19999",H9&gt;=10000,"10000 TO 14999",H9&lt;10000,"BELOW 10000")</f>
        <v>BELOW 10000</v>
      </c>
      <c r="K9" t="str">
        <f>_xlfn.IFS(F9&gt;100000,"ABOVE 100000",F9&gt;=70000,"70000 TO 100000",F9&gt;=50000,"50000 TO 69999",F9&lt;50000,"BELOW 50000")</f>
        <v>BELOW 50000</v>
      </c>
      <c r="L9" t="s">
        <v>24</v>
      </c>
    </row>
    <row r="10" spans="1:18" x14ac:dyDescent="0.25">
      <c r="A10" s="3">
        <v>45685</v>
      </c>
      <c r="B10" s="4" t="s">
        <v>11</v>
      </c>
      <c r="C10" s="4" t="s">
        <v>21</v>
      </c>
      <c r="D10" s="4" t="s">
        <v>22</v>
      </c>
      <c r="E10" s="4">
        <v>2</v>
      </c>
      <c r="F10" s="4">
        <v>100000</v>
      </c>
      <c r="G10" s="4">
        <v>85000</v>
      </c>
      <c r="H10" s="4">
        <v>15000</v>
      </c>
      <c r="I10" t="str">
        <f>_xlfn.IFS(G10&gt;100000,"ABOVE 100000",G10&gt;=70000,"70000 TO 100000",G10&gt;=50000,"50000 TO 69999",G10&lt;50000,"BELOW 50000")</f>
        <v>70000 TO 100000</v>
      </c>
      <c r="J10" t="str">
        <f>_xlfn.IFS(H10&gt;20000,"ABOVE 20000",H10&gt;=15000,"15000 TO 19999",H10&gt;=10000,"10000 TO 14999",H10&lt;10000,"BELOW 10000")</f>
        <v>15000 TO 19999</v>
      </c>
      <c r="K10" t="str">
        <f>_xlfn.IFS(F10&gt;100000,"ABOVE 100000",F10&gt;=70000,"70000 TO 100000",F10&gt;=50000,"50000 TO 69999",F10&lt;50000,"BELOW 50000")</f>
        <v>70000 TO 100000</v>
      </c>
      <c r="L10">
        <f>SUM(F:F)</f>
        <v>2481200</v>
      </c>
    </row>
    <row r="11" spans="1:18" x14ac:dyDescent="0.25">
      <c r="A11" s="3">
        <v>45660</v>
      </c>
      <c r="B11" s="4" t="s">
        <v>18</v>
      </c>
      <c r="C11" s="4" t="s">
        <v>19</v>
      </c>
      <c r="D11" s="4" t="s">
        <v>20</v>
      </c>
      <c r="E11" s="4">
        <v>3</v>
      </c>
      <c r="F11" s="4">
        <v>45000</v>
      </c>
      <c r="G11" s="4">
        <v>37000</v>
      </c>
      <c r="H11" s="4">
        <v>8000</v>
      </c>
      <c r="I11" t="str">
        <f>_xlfn.IFS(G11&gt;100000,"ABOVE 100000",G11&gt;=70000,"70000 TO 100000",G11&gt;=50000,"50000 TO 69999",G11&lt;50000,"BELOW 50000")</f>
        <v>BELOW 50000</v>
      </c>
      <c r="J11" t="str">
        <f>_xlfn.IFS(H11&gt;20000,"ABOVE 20000",H11&gt;=15000,"15000 TO 19999",H11&gt;=10000,"10000 TO 14999",H11&lt;10000,"BELOW 10000")</f>
        <v>BELOW 10000</v>
      </c>
      <c r="K11" t="str">
        <f>_xlfn.IFS(F11&gt;100000,"ABOVE 100000",F11&gt;=70000,"70000 TO 100000",F11&gt;=50000,"50000 TO 69999",F11&lt;50000,"BELOW 50000")</f>
        <v>BELOW 50000</v>
      </c>
    </row>
    <row r="12" spans="1:18" x14ac:dyDescent="0.25">
      <c r="A12" s="3">
        <v>45664</v>
      </c>
      <c r="B12" s="4" t="s">
        <v>11</v>
      </c>
      <c r="C12" s="4" t="s">
        <v>19</v>
      </c>
      <c r="D12" s="4" t="s">
        <v>20</v>
      </c>
      <c r="E12" s="4">
        <v>3</v>
      </c>
      <c r="F12" s="4">
        <v>150000</v>
      </c>
      <c r="G12" s="4">
        <v>128000</v>
      </c>
      <c r="H12" s="4">
        <v>22000</v>
      </c>
      <c r="I12" t="str">
        <f>_xlfn.IFS(G12&gt;100000,"ABOVE 100000",G12&gt;=70000,"70000 TO 100000",G12&gt;=50000,"50000 TO 69999",G12&lt;50000,"BELOW 50000")</f>
        <v>ABOVE 100000</v>
      </c>
      <c r="J12" t="str">
        <f>_xlfn.IFS(H12&gt;20000,"ABOVE 20000",H12&gt;=15000,"15000 TO 19999",H12&gt;=10000,"10000 TO 14999",H12&lt;10000,"BELOW 10000")</f>
        <v>ABOVE 20000</v>
      </c>
      <c r="K12" t="str">
        <f>_xlfn.IFS(F12&gt;100000,"ABOVE 100000",F12&gt;=70000,"70000 TO 100000",F12&gt;=50000,"50000 TO 69999",F12&lt;50000,"BELOW 50000")</f>
        <v>ABOVE 100000</v>
      </c>
      <c r="L12" t="s">
        <v>25</v>
      </c>
    </row>
    <row r="13" spans="1:18" x14ac:dyDescent="0.25">
      <c r="A13" s="3">
        <v>45669</v>
      </c>
      <c r="B13" s="4" t="s">
        <v>18</v>
      </c>
      <c r="C13" s="4" t="s">
        <v>21</v>
      </c>
      <c r="D13" s="4" t="s">
        <v>22</v>
      </c>
      <c r="E13" s="4">
        <v>3</v>
      </c>
      <c r="F13" s="4">
        <v>45000</v>
      </c>
      <c r="G13" s="4">
        <v>38000</v>
      </c>
      <c r="H13" s="4">
        <v>7000</v>
      </c>
      <c r="I13" t="str">
        <f>_xlfn.IFS(G13&gt;100000,"ABOVE 100000",G13&gt;=70000,"70000 TO 100000",G13&gt;=50000,"50000 TO 69999",G13&lt;50000,"BELOW 50000")</f>
        <v>BELOW 50000</v>
      </c>
      <c r="J13" t="str">
        <f>_xlfn.IFS(H13&gt;20000,"ABOVE 20000",H13&gt;=15000,"15000 TO 19999",H13&gt;=10000,"10000 TO 14999",H13&lt;10000,"BELOW 10000")</f>
        <v>BELOW 10000</v>
      </c>
      <c r="K13" t="str">
        <f>_xlfn.IFS(F13&gt;100000,"ABOVE 100000",F13&gt;=70000,"70000 TO 100000",F13&gt;=50000,"50000 TO 69999",F13&lt;50000,"BELOW 50000")</f>
        <v>BELOW 50000</v>
      </c>
      <c r="L13" s="6" t="str">
        <f>INDEX(C2:C31,MATCH(MAX(F2:F31),F2:F31,0))</f>
        <v>North</v>
      </c>
    </row>
    <row r="14" spans="1:18" x14ac:dyDescent="0.25">
      <c r="A14" s="3">
        <v>45674</v>
      </c>
      <c r="B14" s="4" t="s">
        <v>14</v>
      </c>
      <c r="C14" s="4" t="s">
        <v>34</v>
      </c>
      <c r="D14" s="4" t="s">
        <v>13</v>
      </c>
      <c r="E14" s="4">
        <v>3</v>
      </c>
      <c r="F14" s="4">
        <v>45000</v>
      </c>
      <c r="G14" s="4">
        <v>38000</v>
      </c>
      <c r="H14" s="4">
        <v>7000</v>
      </c>
      <c r="I14" t="str">
        <f>_xlfn.IFS(G14&gt;100000,"ABOVE 100000",G14&gt;=70000,"70000 TO 100000",G14&gt;=50000,"50000 TO 69999",G14&lt;50000,"BELOW 50000")</f>
        <v>BELOW 50000</v>
      </c>
      <c r="J14" t="str">
        <f>_xlfn.IFS(H14&gt;20000,"ABOVE 20000",H14&gt;=15000,"15000 TO 19999",H14&gt;=10000,"10000 TO 14999",H14&lt;10000,"BELOW 10000")</f>
        <v>BELOW 10000</v>
      </c>
      <c r="K14" t="str">
        <f>_xlfn.IFS(F14&gt;100000,"ABOVE 100000",F14&gt;=70000,"70000 TO 100000",F14&gt;=50000,"50000 TO 69999",F14&lt;50000,"BELOW 50000")</f>
        <v>BELOW 50000</v>
      </c>
    </row>
    <row r="15" spans="1:18" x14ac:dyDescent="0.25">
      <c r="A15" s="3">
        <v>45679</v>
      </c>
      <c r="B15" s="4" t="s">
        <v>11</v>
      </c>
      <c r="C15" s="4" t="s">
        <v>15</v>
      </c>
      <c r="D15" s="4" t="s">
        <v>16</v>
      </c>
      <c r="E15" s="4">
        <v>3</v>
      </c>
      <c r="F15" s="4">
        <v>150000</v>
      </c>
      <c r="G15" s="4">
        <v>126000</v>
      </c>
      <c r="H15" s="4">
        <v>24000</v>
      </c>
      <c r="I15" t="str">
        <f>_xlfn.IFS(G15&gt;100000,"ABOVE 100000",G15&gt;=70000,"70000 TO 100000",G15&gt;=50000,"50000 TO 69999",G15&lt;50000,"BELOW 50000")</f>
        <v>ABOVE 100000</v>
      </c>
      <c r="J15" t="str">
        <f>_xlfn.IFS(H15&gt;20000,"ABOVE 20000",H15&gt;=15000,"15000 TO 19999",H15&gt;=10000,"10000 TO 14999",H15&lt;10000,"BELOW 10000")</f>
        <v>ABOVE 20000</v>
      </c>
      <c r="K15" t="str">
        <f>_xlfn.IFS(F15&gt;100000,"ABOVE 100000",F15&gt;=70000,"70000 TO 100000",F15&gt;=50000,"50000 TO 69999",F15&lt;50000,"BELOW 50000")</f>
        <v>ABOVE 100000</v>
      </c>
      <c r="L15" t="s">
        <v>26</v>
      </c>
    </row>
    <row r="16" spans="1:18" x14ac:dyDescent="0.25">
      <c r="A16" s="3">
        <v>45683</v>
      </c>
      <c r="B16" s="4" t="s">
        <v>14</v>
      </c>
      <c r="C16" s="4" t="s">
        <v>15</v>
      </c>
      <c r="D16" s="4" t="s">
        <v>16</v>
      </c>
      <c r="E16" s="4">
        <v>3</v>
      </c>
      <c r="F16" s="4">
        <v>45000</v>
      </c>
      <c r="G16" s="4">
        <v>38000</v>
      </c>
      <c r="H16" s="4">
        <v>7000</v>
      </c>
      <c r="I16" t="str">
        <f>_xlfn.IFS(G16&gt;100000,"ABOVE 100000",G16&gt;=70000,"70000 TO 100000",G16&gt;=50000,"50000 TO 69999",G16&lt;50000,"BELOW 50000")</f>
        <v>BELOW 50000</v>
      </c>
      <c r="J16" t="str">
        <f>_xlfn.IFS(H16&gt;20000,"ABOVE 20000",H16&gt;=15000,"15000 TO 19999",H16&gt;=10000,"10000 TO 14999",H16&lt;10000,"BELOW 10000")</f>
        <v>BELOW 10000</v>
      </c>
      <c r="K16" t="str">
        <f>_xlfn.IFS(F16&gt;100000,"ABOVE 100000",F16&gt;=70000,"70000 TO 100000",F16&gt;=50000,"50000 TO 69999",F16&lt;50000,"BELOW 50000")</f>
        <v>BELOW 50000</v>
      </c>
      <c r="L16" s="6" t="str">
        <f>INDEX(D2:D31,MATCH(MAX(H2:H31),H2:H31,0))</f>
        <v>Ravi</v>
      </c>
    </row>
    <row r="17" spans="1:11" x14ac:dyDescent="0.25">
      <c r="A17" s="3">
        <v>45687</v>
      </c>
      <c r="B17" s="4" t="s">
        <v>18</v>
      </c>
      <c r="C17" s="4" t="s">
        <v>15</v>
      </c>
      <c r="D17" s="4" t="s">
        <v>16</v>
      </c>
      <c r="E17" s="4">
        <v>3</v>
      </c>
      <c r="F17" s="4">
        <v>45000</v>
      </c>
      <c r="G17" s="4">
        <v>38000</v>
      </c>
      <c r="H17" s="4">
        <v>7000</v>
      </c>
      <c r="I17" t="str">
        <f>_xlfn.IFS(G17&gt;100000,"ABOVE 100000",G17&gt;=70000,"70000 TO 100000",G17&gt;=50000,"50000 TO 69999",G17&lt;50000,"BELOW 50000")</f>
        <v>BELOW 50000</v>
      </c>
      <c r="J17" t="str">
        <f>_xlfn.IFS(H17&gt;20000,"ABOVE 20000",H17&gt;=15000,"15000 TO 19999",H17&gt;=10000,"10000 TO 14999",H17&lt;10000,"BELOW 10000")</f>
        <v>BELOW 10000</v>
      </c>
      <c r="K17" t="str">
        <f>_xlfn.IFS(F17&gt;100000,"ABOVE 100000",F17&gt;=70000,"70000 TO 100000",F17&gt;=50000,"50000 TO 69999",F17&lt;50000,"BELOW 50000")</f>
        <v>BELOW 50000</v>
      </c>
    </row>
    <row r="18" spans="1:11" x14ac:dyDescent="0.25">
      <c r="A18" s="3">
        <v>45662</v>
      </c>
      <c r="B18" s="4" t="s">
        <v>14</v>
      </c>
      <c r="C18" s="4" t="s">
        <v>12</v>
      </c>
      <c r="D18" s="4" t="s">
        <v>13</v>
      </c>
      <c r="E18" s="4">
        <v>4</v>
      </c>
      <c r="F18" s="4">
        <v>60000</v>
      </c>
      <c r="G18" s="4">
        <v>50000</v>
      </c>
      <c r="H18" s="4">
        <v>10000</v>
      </c>
      <c r="I18" t="str">
        <f>_xlfn.IFS(G18&gt;100000,"ABOVE 100000",G18&gt;=70000,"70000 TO 100000",G18&gt;=50000,"50000 TO 69999",G18&lt;50000,"BELOW 50000")</f>
        <v>50000 TO 69999</v>
      </c>
      <c r="J18" t="str">
        <f>_xlfn.IFS(H18&gt;20000,"ABOVE 20000",H18&gt;=15000,"15000 TO 19999",H18&gt;=10000,"10000 TO 14999",H18&lt;10000,"BELOW 10000")</f>
        <v>10000 TO 14999</v>
      </c>
      <c r="K18" t="str">
        <f>_xlfn.IFS(F18&gt;100000,"ABOVE 100000",F18&gt;=70000,"70000 TO 100000",F18&gt;=50000,"50000 TO 69999",F18&lt;50000,"BELOW 50000")</f>
        <v>50000 TO 69999</v>
      </c>
    </row>
    <row r="19" spans="1:11" x14ac:dyDescent="0.25">
      <c r="A19" s="3">
        <v>45666</v>
      </c>
      <c r="B19" s="4" t="s">
        <v>18</v>
      </c>
      <c r="C19" s="4" t="s">
        <v>12</v>
      </c>
      <c r="D19" s="4" t="s">
        <v>13</v>
      </c>
      <c r="E19" s="4">
        <v>4</v>
      </c>
      <c r="F19" s="4">
        <v>60000</v>
      </c>
      <c r="G19" s="4">
        <v>51000</v>
      </c>
      <c r="H19" s="4">
        <v>9000</v>
      </c>
      <c r="I19" t="str">
        <f>_xlfn.IFS(G19&gt;100000,"ABOVE 100000",G19&gt;=70000,"70000 TO 100000",G19&gt;=50000,"50000 TO 69999",G19&lt;50000,"BELOW 50000")</f>
        <v>50000 TO 69999</v>
      </c>
      <c r="J19" t="str">
        <f>_xlfn.IFS(H19&gt;20000,"ABOVE 20000",H19&gt;=15000,"15000 TO 19999",H19&gt;=10000,"10000 TO 14999",H19&lt;10000,"BELOW 10000")</f>
        <v>BELOW 10000</v>
      </c>
      <c r="K19" t="str">
        <f>_xlfn.IFS(F19&gt;100000,"ABOVE 100000",F19&gt;=70000,"70000 TO 100000",F19&gt;=50000,"50000 TO 69999",F19&lt;50000,"BELOW 50000")</f>
        <v>50000 TO 69999</v>
      </c>
    </row>
    <row r="20" spans="1:11" x14ac:dyDescent="0.25">
      <c r="A20" s="3">
        <v>45673</v>
      </c>
      <c r="B20" s="4" t="s">
        <v>11</v>
      </c>
      <c r="C20" s="4" t="s">
        <v>21</v>
      </c>
      <c r="D20" s="4" t="s">
        <v>22</v>
      </c>
      <c r="E20" s="4">
        <v>4</v>
      </c>
      <c r="F20" s="4">
        <v>200000</v>
      </c>
      <c r="G20" s="4">
        <v>170000</v>
      </c>
      <c r="H20" s="4">
        <v>30000</v>
      </c>
      <c r="I20" t="str">
        <f>_xlfn.IFS(G20&gt;100000,"ABOVE 100000",G20&gt;=70000,"70000 TO 100000",G20&gt;=50000,"50000 TO 69999",G20&lt;50000,"BELOW 50000")</f>
        <v>ABOVE 100000</v>
      </c>
      <c r="J20" t="str">
        <f>_xlfn.IFS(H20&gt;20000,"ABOVE 20000",H20&gt;=15000,"15000 TO 19999",H20&gt;=10000,"10000 TO 14999",H20&lt;10000,"BELOW 10000")</f>
        <v>ABOVE 20000</v>
      </c>
      <c r="K20" t="str">
        <f>_xlfn.IFS(F20&gt;100000,"ABOVE 100000",F20&gt;=70000,"70000 TO 100000",F20&gt;=50000,"50000 TO 69999",F20&lt;50000,"BELOW 50000")</f>
        <v>ABOVE 100000</v>
      </c>
    </row>
    <row r="21" spans="1:11" x14ac:dyDescent="0.25">
      <c r="A21" s="3">
        <v>45677</v>
      </c>
      <c r="B21" s="4" t="s">
        <v>14</v>
      </c>
      <c r="C21" s="4" t="s">
        <v>21</v>
      </c>
      <c r="D21" s="4" t="s">
        <v>22</v>
      </c>
      <c r="E21" s="4">
        <v>4</v>
      </c>
      <c r="F21" s="4">
        <v>60000</v>
      </c>
      <c r="G21" s="4">
        <v>51000</v>
      </c>
      <c r="H21" s="4">
        <v>9000</v>
      </c>
      <c r="I21" t="str">
        <f>_xlfn.IFS(G21&gt;100000,"ABOVE 100000",G21&gt;=70000,"70000 TO 100000",G21&gt;=50000,"50000 TO 69999",G21&lt;50000,"BELOW 50000")</f>
        <v>50000 TO 69999</v>
      </c>
      <c r="J21" t="str">
        <f>_xlfn.IFS(H21&gt;20000,"ABOVE 20000",H21&gt;=15000,"15000 TO 19999",H21&gt;=10000,"10000 TO 14999",H21&lt;10000,"BELOW 10000")</f>
        <v>BELOW 10000</v>
      </c>
      <c r="K21" t="str">
        <f>_xlfn.IFS(F21&gt;100000,"ABOVE 100000",F21&gt;=70000,"70000 TO 100000",F21&gt;=50000,"50000 TO 69999",F21&lt;50000,"BELOW 50000")</f>
        <v>50000 TO 69999</v>
      </c>
    </row>
    <row r="22" spans="1:11" x14ac:dyDescent="0.25">
      <c r="A22" s="3">
        <v>45681</v>
      </c>
      <c r="B22" s="4" t="s">
        <v>18</v>
      </c>
      <c r="C22" s="4" t="s">
        <v>21</v>
      </c>
      <c r="D22" s="4" t="s">
        <v>22</v>
      </c>
      <c r="E22" s="4">
        <v>4</v>
      </c>
      <c r="F22" s="4">
        <v>60000</v>
      </c>
      <c r="G22" s="4">
        <v>51000</v>
      </c>
      <c r="H22" s="4">
        <v>9000</v>
      </c>
      <c r="I22" t="str">
        <f>_xlfn.IFS(G22&gt;100000,"ABOVE 100000",G22&gt;=70000,"70000 TO 100000",G22&gt;=50000,"50000 TO 69999",G22&lt;50000,"BELOW 50000")</f>
        <v>50000 TO 69999</v>
      </c>
      <c r="J22" t="str">
        <f>_xlfn.IFS(H22&gt;20000,"ABOVE 20000",H22&gt;=15000,"15000 TO 19999",H22&gt;=10000,"10000 TO 14999",H22&lt;10000,"BELOW 10000")</f>
        <v>BELOW 10000</v>
      </c>
      <c r="K22" t="str">
        <f>_xlfn.IFS(F22&gt;100000,"ABOVE 100000",F22&gt;=70000,"70000 TO 100000",F22&gt;=50000,"50000 TO 69999",F22&lt;50000,"BELOW 50000")</f>
        <v>50000 TO 69999</v>
      </c>
    </row>
    <row r="23" spans="1:11" x14ac:dyDescent="0.25">
      <c r="A23" s="3">
        <v>45659</v>
      </c>
      <c r="B23" s="4" t="s">
        <v>14</v>
      </c>
      <c r="C23" s="4" t="s">
        <v>15</v>
      </c>
      <c r="D23" s="4" t="s">
        <v>16</v>
      </c>
      <c r="E23" s="4">
        <v>5</v>
      </c>
      <c r="F23" s="4">
        <v>75000</v>
      </c>
      <c r="G23" s="4">
        <v>63000</v>
      </c>
      <c r="H23" s="4">
        <v>12000</v>
      </c>
      <c r="I23" t="str">
        <f>_xlfn.IFS(G23&gt;100000,"ABOVE 100000",G23&gt;=70000,"70000 TO 100000",G23&gt;=50000,"50000 TO 69999",G23&lt;50000,"BELOW 50000")</f>
        <v>50000 TO 69999</v>
      </c>
      <c r="J23" t="str">
        <f>_xlfn.IFS(H23&gt;20000,"ABOVE 20000",H23&gt;=15000,"15000 TO 19999",H23&gt;=10000,"10000 TO 14999",H23&lt;10000,"BELOW 10000")</f>
        <v>10000 TO 14999</v>
      </c>
      <c r="K23" t="str">
        <f>_xlfn.IFS(F23&gt;100000,"ABOVE 100000",F23&gt;=70000,"70000 TO 100000",F23&gt;=50000,"50000 TO 69999",F23&lt;50000,"BELOW 50000")</f>
        <v>70000 TO 100000</v>
      </c>
    </row>
    <row r="24" spans="1:11" x14ac:dyDescent="0.25">
      <c r="A24" s="3">
        <v>45668</v>
      </c>
      <c r="B24" s="4" t="s">
        <v>14</v>
      </c>
      <c r="C24" s="4" t="s">
        <v>19</v>
      </c>
      <c r="D24" s="4" t="s">
        <v>20</v>
      </c>
      <c r="E24" s="4">
        <v>5</v>
      </c>
      <c r="F24" s="4">
        <v>75000</v>
      </c>
      <c r="G24" s="4">
        <v>64000</v>
      </c>
      <c r="H24" s="4">
        <v>11000</v>
      </c>
      <c r="I24" t="str">
        <f>_xlfn.IFS(G24&gt;100000,"ABOVE 100000",G24&gt;=70000,"70000 TO 100000",G24&gt;=50000,"50000 TO 69999",G24&lt;50000,"BELOW 50000")</f>
        <v>50000 TO 69999</v>
      </c>
      <c r="J24" t="str">
        <f>_xlfn.IFS(H24&gt;20000,"ABOVE 20000",H24&gt;=15000,"15000 TO 19999",H24&gt;=10000,"10000 TO 14999",H24&lt;10000,"BELOW 10000")</f>
        <v>10000 TO 14999</v>
      </c>
      <c r="K24" t="str">
        <f>_xlfn.IFS(F24&gt;100000,"ABOVE 100000",F24&gt;=70000,"70000 TO 100000",F24&gt;=50000,"50000 TO 69999",F24&lt;50000,"BELOW 50000")</f>
        <v>70000 TO 100000</v>
      </c>
    </row>
    <row r="25" spans="1:11" x14ac:dyDescent="0.25">
      <c r="A25" s="3">
        <v>45675</v>
      </c>
      <c r="B25" s="4" t="s">
        <v>18</v>
      </c>
      <c r="C25" s="4" t="s">
        <v>15</v>
      </c>
      <c r="D25" s="4" t="s">
        <v>16</v>
      </c>
      <c r="E25" s="4">
        <v>5</v>
      </c>
      <c r="F25" s="4">
        <v>75000</v>
      </c>
      <c r="G25" s="4">
        <v>63000</v>
      </c>
      <c r="H25" s="4">
        <v>12000</v>
      </c>
      <c r="I25" t="str">
        <f>_xlfn.IFS(G25&gt;100000,"ABOVE 100000",G25&gt;=70000,"70000 TO 100000",G25&gt;=50000,"50000 TO 69999",G25&lt;50000,"BELOW 50000")</f>
        <v>50000 TO 69999</v>
      </c>
      <c r="J25" t="str">
        <f>_xlfn.IFS(H25&gt;20000,"ABOVE 20000",H25&gt;=15000,"15000 TO 19999",H25&gt;=10000,"10000 TO 14999",H25&lt;10000,"BELOW 10000")</f>
        <v>10000 TO 14999</v>
      </c>
      <c r="K25" t="str">
        <f>_xlfn.IFS(F25&gt;100000,"ABOVE 100000",F25&gt;=70000,"70000 TO 100000",F25&gt;=50000,"50000 TO 69999",F25&lt;50000,"BELOW 50000")</f>
        <v>70000 TO 100000</v>
      </c>
    </row>
    <row r="26" spans="1:11" x14ac:dyDescent="0.25">
      <c r="A26" s="3">
        <v>45682</v>
      </c>
      <c r="B26" s="4" t="s">
        <v>11</v>
      </c>
      <c r="C26" s="4" t="s">
        <v>12</v>
      </c>
      <c r="D26" s="4" t="s">
        <v>13</v>
      </c>
      <c r="E26" s="4">
        <v>5</v>
      </c>
      <c r="F26" s="4">
        <v>250000</v>
      </c>
      <c r="G26" s="4">
        <v>212000</v>
      </c>
      <c r="H26" s="4">
        <v>38000</v>
      </c>
      <c r="I26" t="str">
        <f>_xlfn.IFS(G26&gt;100000,"ABOVE 100000",G26&gt;=70000,"70000 TO 100000",G26&gt;=50000,"50000 TO 69999",G26&lt;50000,"BELOW 50000")</f>
        <v>ABOVE 100000</v>
      </c>
      <c r="J26" t="str">
        <f>_xlfn.IFS(H26&gt;20000,"ABOVE 20000",H26&gt;=15000,"15000 TO 19999",H26&gt;=10000,"10000 TO 14999",H26&lt;10000,"BELOW 10000")</f>
        <v>ABOVE 20000</v>
      </c>
      <c r="K26" t="str">
        <f>_xlfn.IFS(F26&gt;100000,"ABOVE 100000",F26&gt;=70000,"70000 TO 100000",F26&gt;=50000,"50000 TO 69999",F26&lt;50000,"BELOW 50000")</f>
        <v>ABOVE 100000</v>
      </c>
    </row>
    <row r="27" spans="1:11" x14ac:dyDescent="0.25">
      <c r="A27" s="3">
        <v>45684</v>
      </c>
      <c r="B27" s="4" t="s">
        <v>18</v>
      </c>
      <c r="C27" s="4" t="s">
        <v>19</v>
      </c>
      <c r="D27" s="4" t="s">
        <v>20</v>
      </c>
      <c r="E27" s="4">
        <v>5</v>
      </c>
      <c r="F27" s="4">
        <v>75000</v>
      </c>
      <c r="G27" s="4">
        <v>63000</v>
      </c>
      <c r="H27" s="4">
        <v>12000</v>
      </c>
      <c r="I27" t="str">
        <f>_xlfn.IFS(G27&gt;100000,"ABOVE 100000",G27&gt;=70000,"70000 TO 100000",G27&gt;=50000,"50000 TO 69999",G27&lt;50000,"BELOW 50000")</f>
        <v>50000 TO 69999</v>
      </c>
      <c r="J27" t="str">
        <f>_xlfn.IFS(H27&gt;20000,"ABOVE 20000",H27&gt;=15000,"15000 TO 19999",H27&gt;=10000,"10000 TO 14999",H27&lt;10000,"BELOW 10000")</f>
        <v>10000 TO 14999</v>
      </c>
      <c r="K27" t="str">
        <f>_xlfn.IFS(F27&gt;100000,"ABOVE 100000",F27&gt;=70000,"70000 TO 100000",F27&gt;=50000,"50000 TO 69999",F27&lt;50000,"BELOW 50000")</f>
        <v>70000 TO 100000</v>
      </c>
    </row>
    <row r="28" spans="1:11" x14ac:dyDescent="0.25">
      <c r="A28" s="3">
        <v>45665</v>
      </c>
      <c r="B28" s="4" t="s">
        <v>14</v>
      </c>
      <c r="C28" s="4" t="s">
        <v>21</v>
      </c>
      <c r="D28" s="4" t="s">
        <v>22</v>
      </c>
      <c r="E28" s="4">
        <v>6</v>
      </c>
      <c r="F28" s="4">
        <v>90000</v>
      </c>
      <c r="G28" s="4">
        <v>76000</v>
      </c>
      <c r="H28" s="4">
        <v>14000</v>
      </c>
      <c r="I28" t="str">
        <f>_xlfn.IFS(G28&gt;100000,"ABOVE 100000",G28&gt;=70000,"70000 TO 100000",G28&gt;=50000,"50000 TO 69999",G28&lt;50000,"BELOW 50000")</f>
        <v>70000 TO 100000</v>
      </c>
      <c r="J28" t="str">
        <f>_xlfn.IFS(H28&gt;20000,"ABOVE 20000",H28&gt;=15000,"15000 TO 19999",H28&gt;=10000,"10000 TO 14999",H28&lt;10000,"BELOW 10000")</f>
        <v>10000 TO 14999</v>
      </c>
      <c r="K28" t="str">
        <f>_xlfn.IFS(F28&gt;100000,"ABOVE 100000",F28&gt;=70000,"70000 TO 100000",F28&gt;=50000,"50000 TO 69999",F28&lt;50000,"BELOW 50000")</f>
        <v>70000 TO 100000</v>
      </c>
    </row>
    <row r="29" spans="1:11" x14ac:dyDescent="0.25">
      <c r="A29" s="3">
        <v>45678</v>
      </c>
      <c r="B29" s="4" t="s">
        <v>18</v>
      </c>
      <c r="C29" s="4" t="s">
        <v>12</v>
      </c>
      <c r="D29" s="4" t="s">
        <v>13</v>
      </c>
      <c r="E29" s="4">
        <v>6</v>
      </c>
      <c r="F29" s="4">
        <v>90000</v>
      </c>
      <c r="G29" s="4">
        <v>76000</v>
      </c>
      <c r="H29" s="4">
        <v>14000</v>
      </c>
      <c r="I29" t="str">
        <f>_xlfn.IFS(G29&gt;100000,"ABOVE 100000",G29&gt;=70000,"70000 TO 100000",G29&gt;=50000,"50000 TO 69999",G29&lt;50000,"BELOW 50000")</f>
        <v>70000 TO 100000</v>
      </c>
      <c r="J29" t="str">
        <f>_xlfn.IFS(H29&gt;20000,"ABOVE 20000",H29&gt;=15000,"15000 TO 19999",H29&gt;=10000,"10000 TO 14999",H29&lt;10000,"BELOW 10000")</f>
        <v>10000 TO 14999</v>
      </c>
      <c r="K29" t="str">
        <f>_xlfn.IFS(F29&gt;100000,"ABOVE 100000",F29&gt;=70000,"70000 TO 100000",F29&gt;=50000,"50000 TO 69999",F29&lt;50000,"BELOW 50000")</f>
        <v>70000 TO 100000</v>
      </c>
    </row>
    <row r="30" spans="1:11" x14ac:dyDescent="0.25">
      <c r="A30" s="3">
        <v>45686</v>
      </c>
      <c r="B30" s="4" t="s">
        <v>14</v>
      </c>
      <c r="C30" s="4" t="s">
        <v>12</v>
      </c>
      <c r="D30" s="4" t="s">
        <v>13</v>
      </c>
      <c r="E30" s="4">
        <v>6</v>
      </c>
      <c r="F30" s="4">
        <v>90000</v>
      </c>
      <c r="G30" s="4">
        <v>76000</v>
      </c>
      <c r="H30" s="4">
        <v>14000</v>
      </c>
      <c r="I30" t="str">
        <f>_xlfn.IFS(G30&gt;100000,"ABOVE 100000",G30&gt;=70000,"70000 TO 100000",G30&gt;=50000,"50000 TO 69999",G30&lt;50000,"BELOW 50000")</f>
        <v>70000 TO 100000</v>
      </c>
      <c r="J30" t="str">
        <f>_xlfn.IFS(H30&gt;20000,"ABOVE 20000",H30&gt;=15000,"15000 TO 19999",H30&gt;=10000,"10000 TO 14999",H30&lt;10000,"BELOW 10000")</f>
        <v>10000 TO 14999</v>
      </c>
      <c r="K30" t="str">
        <f>_xlfn.IFS(F30&gt;100000,"ABOVE 100000",F30&gt;=70000,"70000 TO 100000",F30&gt;=50000,"50000 TO 69999",F30&lt;50000,"BELOW 50000")</f>
        <v>70000 TO 100000</v>
      </c>
    </row>
    <row r="31" spans="1:11" x14ac:dyDescent="0.25">
      <c r="A31" s="3">
        <v>45671</v>
      </c>
      <c r="B31" s="4" t="s">
        <v>14</v>
      </c>
      <c r="C31" s="4" t="s">
        <v>15</v>
      </c>
      <c r="D31" s="4" t="s">
        <v>16</v>
      </c>
      <c r="E31" s="4">
        <v>7</v>
      </c>
      <c r="F31" s="4">
        <v>105000</v>
      </c>
      <c r="G31" s="4">
        <v>88000</v>
      </c>
      <c r="H31" s="4">
        <v>17000</v>
      </c>
      <c r="I31" t="str">
        <f>_xlfn.IFS(G31&gt;100000,"ABOVE 100000",G31&gt;=70000,"70000 TO 100000",G31&gt;=50000,"50000 TO 69999",G31&lt;50000,"BELOW 50000")</f>
        <v>70000 TO 100000</v>
      </c>
      <c r="J31" t="str">
        <f>_xlfn.IFS(H31&gt;20000,"ABOVE 20000",H31&gt;=15000,"15000 TO 19999",H31&gt;=10000,"10000 TO 14999",H31&lt;10000,"BELOW 10000")</f>
        <v>15000 TO 19999</v>
      </c>
      <c r="K31" t="str">
        <f>_xlfn.IFS(F31&gt;100000,"ABOVE 100000",F31&gt;=70000,"70000 TO 100000",F31&gt;=50000,"50000 TO 69999",F31&lt;50000,"BELOW 50000")</f>
        <v>ABOVE 100000</v>
      </c>
    </row>
    <row r="35" spans="1:11" ht="30" x14ac:dyDescent="0.25">
      <c r="A35" s="1" t="s">
        <v>35</v>
      </c>
      <c r="B35" s="1" t="s">
        <v>36</v>
      </c>
      <c r="C35" s="1" t="s">
        <v>37</v>
      </c>
      <c r="D35" s="1" t="s">
        <v>38</v>
      </c>
      <c r="E35" s="1" t="s">
        <v>39</v>
      </c>
      <c r="F35" s="1" t="s">
        <v>40</v>
      </c>
      <c r="G35" s="1" t="s">
        <v>41</v>
      </c>
      <c r="K35" t="s">
        <v>63</v>
      </c>
    </row>
    <row r="36" spans="1:11" ht="30" x14ac:dyDescent="0.25">
      <c r="A36" s="4" t="s">
        <v>42</v>
      </c>
      <c r="B36" s="4">
        <v>78</v>
      </c>
      <c r="C36" s="4">
        <v>82</v>
      </c>
      <c r="D36" s="4">
        <v>80</v>
      </c>
      <c r="E36" s="4">
        <v>85</v>
      </c>
      <c r="F36" s="4">
        <v>60</v>
      </c>
      <c r="G36" s="4">
        <f>AVERAGE(B36:F36)</f>
        <v>77</v>
      </c>
      <c r="J36" t="s">
        <v>62</v>
      </c>
      <c r="K36">
        <f>G36</f>
        <v>77</v>
      </c>
    </row>
    <row r="37" spans="1:11" ht="30" x14ac:dyDescent="0.25">
      <c r="A37" s="4" t="s">
        <v>43</v>
      </c>
      <c r="B37" s="4">
        <v>85</v>
      </c>
      <c r="C37" s="4">
        <v>88</v>
      </c>
      <c r="D37" s="4">
        <v>90</v>
      </c>
      <c r="E37" s="4">
        <v>87</v>
      </c>
      <c r="F37" s="4">
        <v>60</v>
      </c>
      <c r="G37" s="4">
        <f t="shared" ref="G37:G56" si="0">AVERAGE(B37:F37)</f>
        <v>82</v>
      </c>
      <c r="J37">
        <v>75</v>
      </c>
      <c r="K37">
        <f t="dataTable" ref="K37:K41" dt2D="0" dtr="0" r1="F36"/>
        <v>80</v>
      </c>
    </row>
    <row r="38" spans="1:11" ht="30" x14ac:dyDescent="0.25">
      <c r="A38" s="4" t="s">
        <v>44</v>
      </c>
      <c r="B38" s="4">
        <v>72</v>
      </c>
      <c r="C38" s="4">
        <v>75</v>
      </c>
      <c r="D38" s="4">
        <v>78</v>
      </c>
      <c r="E38" s="4">
        <v>74</v>
      </c>
      <c r="F38" s="4">
        <v>60</v>
      </c>
      <c r="G38" s="4">
        <f t="shared" si="0"/>
        <v>71.8</v>
      </c>
      <c r="J38">
        <v>80</v>
      </c>
      <c r="K38">
        <v>81</v>
      </c>
    </row>
    <row r="39" spans="1:11" ht="30" x14ac:dyDescent="0.25">
      <c r="A39" s="4" t="s">
        <v>45</v>
      </c>
      <c r="B39" s="4">
        <v>91</v>
      </c>
      <c r="C39" s="4">
        <v>89</v>
      </c>
      <c r="D39" s="4">
        <v>93</v>
      </c>
      <c r="E39" s="4">
        <v>95</v>
      </c>
      <c r="F39" s="4">
        <v>60</v>
      </c>
      <c r="G39" s="4">
        <f t="shared" si="0"/>
        <v>85.6</v>
      </c>
      <c r="J39">
        <v>85</v>
      </c>
      <c r="K39">
        <v>82</v>
      </c>
    </row>
    <row r="40" spans="1:11" ht="30" x14ac:dyDescent="0.25">
      <c r="A40" s="4" t="s">
        <v>46</v>
      </c>
      <c r="B40" s="4">
        <v>68</v>
      </c>
      <c r="C40" s="4">
        <v>70</v>
      </c>
      <c r="D40" s="4">
        <v>72</v>
      </c>
      <c r="E40" s="4">
        <v>75</v>
      </c>
      <c r="F40" s="4">
        <v>60</v>
      </c>
      <c r="G40" s="4">
        <f t="shared" si="0"/>
        <v>69</v>
      </c>
      <c r="J40">
        <v>90</v>
      </c>
      <c r="K40">
        <v>83</v>
      </c>
    </row>
    <row r="41" spans="1:11" ht="30" x14ac:dyDescent="0.25">
      <c r="A41" s="4" t="s">
        <v>47</v>
      </c>
      <c r="B41" s="4">
        <v>84</v>
      </c>
      <c r="C41" s="4">
        <v>86</v>
      </c>
      <c r="D41" s="4">
        <v>85</v>
      </c>
      <c r="E41" s="4">
        <v>88</v>
      </c>
      <c r="F41" s="4">
        <v>60</v>
      </c>
      <c r="G41" s="4">
        <f t="shared" si="0"/>
        <v>80.599999999999994</v>
      </c>
      <c r="J41">
        <v>95</v>
      </c>
      <c r="K41">
        <v>84</v>
      </c>
    </row>
    <row r="42" spans="1:11" ht="30" x14ac:dyDescent="0.25">
      <c r="A42" s="4" t="s">
        <v>48</v>
      </c>
      <c r="B42" s="4">
        <v>76</v>
      </c>
      <c r="C42" s="4">
        <v>79</v>
      </c>
      <c r="D42" s="4">
        <v>81</v>
      </c>
      <c r="E42" s="4">
        <v>80</v>
      </c>
      <c r="F42" s="4">
        <v>60</v>
      </c>
      <c r="G42" s="4">
        <f t="shared" si="0"/>
        <v>75.2</v>
      </c>
    </row>
    <row r="43" spans="1:11" ht="30" x14ac:dyDescent="0.25">
      <c r="A43" s="4" t="s">
        <v>49</v>
      </c>
      <c r="B43" s="4">
        <v>88</v>
      </c>
      <c r="C43" s="4">
        <v>90</v>
      </c>
      <c r="D43" s="4">
        <v>89</v>
      </c>
      <c r="E43" s="4">
        <v>91</v>
      </c>
      <c r="F43" s="4">
        <v>60</v>
      </c>
      <c r="G43" s="4">
        <f t="shared" si="0"/>
        <v>83.6</v>
      </c>
    </row>
    <row r="44" spans="1:11" ht="30" x14ac:dyDescent="0.25">
      <c r="A44" s="4" t="s">
        <v>50</v>
      </c>
      <c r="B44" s="4">
        <v>65</v>
      </c>
      <c r="C44" s="4">
        <v>69</v>
      </c>
      <c r="D44" s="4">
        <v>70</v>
      </c>
      <c r="E44" s="4">
        <v>68</v>
      </c>
      <c r="F44" s="4">
        <v>60</v>
      </c>
      <c r="G44" s="4">
        <f t="shared" si="0"/>
        <v>66.400000000000006</v>
      </c>
    </row>
    <row r="45" spans="1:11" ht="30" x14ac:dyDescent="0.25">
      <c r="A45" s="4" t="s">
        <v>51</v>
      </c>
      <c r="B45" s="4">
        <v>92</v>
      </c>
      <c r="C45" s="4">
        <v>94</v>
      </c>
      <c r="D45" s="4">
        <v>95</v>
      </c>
      <c r="E45" s="4">
        <v>93</v>
      </c>
      <c r="F45" s="4">
        <v>60</v>
      </c>
      <c r="G45" s="4">
        <f t="shared" si="0"/>
        <v>86.8</v>
      </c>
    </row>
    <row r="46" spans="1:11" ht="30" x14ac:dyDescent="0.25">
      <c r="A46" s="4" t="s">
        <v>52</v>
      </c>
      <c r="B46" s="4">
        <v>80</v>
      </c>
      <c r="C46" s="4">
        <v>82</v>
      </c>
      <c r="D46" s="4">
        <v>84</v>
      </c>
      <c r="E46" s="4">
        <v>83</v>
      </c>
      <c r="F46" s="4">
        <v>60</v>
      </c>
      <c r="G46" s="4">
        <f t="shared" si="0"/>
        <v>77.8</v>
      </c>
    </row>
    <row r="47" spans="1:11" ht="30" x14ac:dyDescent="0.25">
      <c r="A47" s="4" t="s">
        <v>53</v>
      </c>
      <c r="B47" s="4">
        <v>87</v>
      </c>
      <c r="C47" s="4">
        <v>89</v>
      </c>
      <c r="D47" s="4">
        <v>91</v>
      </c>
      <c r="E47" s="4">
        <v>90</v>
      </c>
      <c r="F47" s="4">
        <v>60</v>
      </c>
      <c r="G47" s="4">
        <f t="shared" si="0"/>
        <v>83.4</v>
      </c>
    </row>
    <row r="48" spans="1:11" ht="30" x14ac:dyDescent="0.25">
      <c r="A48" s="4" t="s">
        <v>54</v>
      </c>
      <c r="B48" s="4">
        <v>74</v>
      </c>
      <c r="C48" s="4">
        <v>76</v>
      </c>
      <c r="D48" s="4">
        <v>75</v>
      </c>
      <c r="E48" s="4">
        <v>78</v>
      </c>
      <c r="F48" s="4">
        <v>60</v>
      </c>
      <c r="G48" s="4">
        <f t="shared" si="0"/>
        <v>72.599999999999994</v>
      </c>
    </row>
    <row r="49" spans="1:7" ht="30" x14ac:dyDescent="0.25">
      <c r="A49" s="4" t="s">
        <v>55</v>
      </c>
      <c r="B49" s="4">
        <v>89</v>
      </c>
      <c r="C49" s="4">
        <v>91</v>
      </c>
      <c r="D49" s="4">
        <v>92</v>
      </c>
      <c r="E49" s="4">
        <v>90</v>
      </c>
      <c r="F49" s="4">
        <v>60</v>
      </c>
      <c r="G49" s="4">
        <f t="shared" si="0"/>
        <v>84.4</v>
      </c>
    </row>
    <row r="50" spans="1:7" ht="30" x14ac:dyDescent="0.25">
      <c r="A50" s="4" t="s">
        <v>56</v>
      </c>
      <c r="B50" s="4">
        <v>70</v>
      </c>
      <c r="C50" s="4">
        <v>72</v>
      </c>
      <c r="D50" s="4">
        <v>74</v>
      </c>
      <c r="E50" s="4">
        <v>73</v>
      </c>
      <c r="F50" s="4">
        <v>60</v>
      </c>
      <c r="G50" s="4">
        <f t="shared" si="0"/>
        <v>69.8</v>
      </c>
    </row>
    <row r="51" spans="1:7" ht="30" x14ac:dyDescent="0.25">
      <c r="A51" s="4" t="s">
        <v>57</v>
      </c>
      <c r="B51" s="4">
        <v>94</v>
      </c>
      <c r="C51" s="4">
        <v>96</v>
      </c>
      <c r="D51" s="4">
        <v>95</v>
      </c>
      <c r="E51" s="4">
        <v>97</v>
      </c>
      <c r="F51" s="4">
        <v>60</v>
      </c>
      <c r="G51" s="4">
        <f t="shared" si="0"/>
        <v>88.4</v>
      </c>
    </row>
    <row r="52" spans="1:7" ht="30" x14ac:dyDescent="0.25">
      <c r="A52" s="4" t="s">
        <v>58</v>
      </c>
      <c r="B52" s="4">
        <v>82</v>
      </c>
      <c r="C52" s="4">
        <v>84</v>
      </c>
      <c r="D52" s="4">
        <v>83</v>
      </c>
      <c r="E52" s="4">
        <v>86</v>
      </c>
      <c r="F52" s="4">
        <v>60</v>
      </c>
      <c r="G52" s="4">
        <f t="shared" si="0"/>
        <v>79</v>
      </c>
    </row>
    <row r="53" spans="1:7" ht="30" x14ac:dyDescent="0.25">
      <c r="A53" s="4" t="s">
        <v>59</v>
      </c>
      <c r="B53" s="4">
        <v>86</v>
      </c>
      <c r="C53" s="4">
        <v>88</v>
      </c>
      <c r="D53" s="4">
        <v>87</v>
      </c>
      <c r="E53" s="4">
        <v>89</v>
      </c>
      <c r="F53" s="4">
        <v>60</v>
      </c>
      <c r="G53" s="4">
        <f t="shared" si="0"/>
        <v>82</v>
      </c>
    </row>
    <row r="54" spans="1:7" ht="30" x14ac:dyDescent="0.25">
      <c r="A54" s="4" t="s">
        <v>60</v>
      </c>
      <c r="B54" s="4">
        <v>77</v>
      </c>
      <c r="C54" s="4">
        <v>79</v>
      </c>
      <c r="D54" s="4">
        <v>80</v>
      </c>
      <c r="E54" s="4">
        <v>78</v>
      </c>
      <c r="F54" s="4">
        <v>60</v>
      </c>
      <c r="G54" s="4">
        <f t="shared" si="0"/>
        <v>74.8</v>
      </c>
    </row>
    <row r="55" spans="1:7" ht="30" x14ac:dyDescent="0.25">
      <c r="A55" s="4" t="s">
        <v>61</v>
      </c>
      <c r="B55" s="4">
        <v>90</v>
      </c>
      <c r="C55" s="4">
        <v>92</v>
      </c>
      <c r="D55" s="4">
        <v>94</v>
      </c>
      <c r="E55" s="4">
        <v>93</v>
      </c>
      <c r="F55" s="4">
        <v>60</v>
      </c>
      <c r="G55" s="4">
        <f t="shared" si="0"/>
        <v>85.8</v>
      </c>
    </row>
    <row r="56" spans="1:7" x14ac:dyDescent="0.25">
      <c r="G56" s="4"/>
    </row>
  </sheetData>
  <scenarios current="2" show="2" sqref="G36:G55">
    <scenario name="BEST CASE" locked="1" count="20" user="MITS" comment="Created by MITS on 08-06-2026_x000a_Modified by MITS on 08-06-2026">
      <inputCells r="F36" val="100"/>
      <inputCells r="F37" val="100"/>
      <inputCells r="F38" val="100"/>
      <inputCells r="F39" val="100"/>
      <inputCells r="F40" val="100"/>
      <inputCells r="F41" val="100"/>
      <inputCells r="F42" val="100"/>
      <inputCells r="F43" val="100"/>
      <inputCells r="F44" val="100"/>
      <inputCells r="F45" val="100"/>
      <inputCells r="F46" val="100"/>
      <inputCells r="F47" val="100"/>
      <inputCells r="F48" val="100"/>
      <inputCells r="F49" val="100"/>
      <inputCells r="F50" val="100"/>
      <inputCells r="F51" val="100"/>
      <inputCells r="F52" val="100"/>
      <inputCells r="F53" val="100"/>
      <inputCells r="F54" val="100"/>
      <inputCells r="F55" val="100"/>
    </scenario>
    <scenario name="AVERAGE CASE" locked="1" count="20" user="MITS" comment="Created by MITS on 08-06-2026_x000a_Modified by MITS on 08-06-2026">
      <inputCells r="F36" val="80"/>
      <inputCells r="F37" val="80"/>
      <inputCells r="F38" val="80"/>
      <inputCells r="F39" val="80"/>
      <inputCells r="F40" val="80"/>
      <inputCells r="F41" val="80"/>
      <inputCells r="F42" val="80"/>
      <inputCells r="F43" val="80"/>
      <inputCells r="F44" val="80"/>
      <inputCells r="F45" val="80"/>
      <inputCells r="F46" val="80"/>
      <inputCells r="F47" val="80"/>
      <inputCells r="F48" val="80"/>
      <inputCells r="F49" val="80"/>
      <inputCells r="F50" val="80"/>
      <inputCells r="F51" val="80"/>
      <inputCells r="F52" val="80"/>
      <inputCells r="F53" val="80"/>
      <inputCells r="F54" val="80"/>
      <inputCells r="F55" val="80"/>
    </scenario>
    <scenario name="WORST CASE" locked="1" count="20" user="MITS" comment="Created by MITS on 08-06-2026_x000a_Modified by MITS on 08-06-2026">
      <inputCells r="F36" val="60"/>
      <inputCells r="F37" val="60"/>
      <inputCells r="F38" val="60"/>
      <inputCells r="F39" val="60"/>
      <inputCells r="F40" val="60"/>
      <inputCells r="F41" val="60"/>
      <inputCells r="F42" val="60"/>
      <inputCells r="F43" val="60"/>
      <inputCells r="F44" val="60"/>
      <inputCells r="F45" val="60"/>
      <inputCells r="F46" val="60"/>
      <inputCells r="F47" val="60"/>
      <inputCells r="F48" val="60"/>
      <inputCells r="F49" val="60"/>
      <inputCells r="F50" val="60"/>
      <inputCells r="F51" val="60"/>
      <inputCells r="F52" val="60"/>
      <inputCells r="F53" val="60"/>
      <inputCells r="F54" val="60"/>
      <inputCells r="F55" val="60"/>
    </scenario>
  </scenarios>
  <autoFilter ref="A1:K31" xr:uid="{1D775D7A-745B-45B7-B649-86128BA4690B}">
    <sortState xmlns:xlrd2="http://schemas.microsoft.com/office/spreadsheetml/2017/richdata2" ref="A2:K31">
      <sortCondition ref="E1:E31"/>
    </sortState>
  </autoFilter>
  <mergeCells count="1">
    <mergeCell ref="O3:P3"/>
  </mergeCells>
  <dataValidations count="6">
    <dataValidation type="date" allowBlank="1" showInputMessage="1" showErrorMessage="1" sqref="N3" xr:uid="{682D23E6-764A-45FE-810C-81A00615CF6C}">
      <formula1>A6</formula1>
      <formula2>A25</formula2>
    </dataValidation>
    <dataValidation type="textLength" allowBlank="1" showInputMessage="1" showErrorMessage="1" sqref="L13 O3:P3" xr:uid="{603DD150-BF98-4B64-B334-02DB1B646FAA}">
      <formula1>4</formula1>
      <formula2>9</formula2>
    </dataValidation>
    <dataValidation type="textLength" allowBlank="1" showInputMessage="1" showErrorMessage="1" sqref="D2:K31 B2:B31" xr:uid="{1564D74E-C48B-42B3-96B3-A988B25B1DCC}">
      <formula1>1</formula1>
      <formula2>11</formula2>
    </dataValidation>
    <dataValidation type="textLength" allowBlank="1" showInputMessage="1" showErrorMessage="1" sqref="O7" xr:uid="{E3D12C46-505A-4AAA-AF0F-4D44FB3C36DF}">
      <formula1>1</formula1>
      <formula2>11</formula2>
    </dataValidation>
    <dataValidation type="list" allowBlank="1" showInputMessage="1" showErrorMessage="1" sqref="C32:C34 C56:C1048576" xr:uid="{CEC6EB19-4446-4474-ADB7-7C8AEF98F49E}">
      <formula1>"North, South,East, West"</formula1>
    </dataValidation>
    <dataValidation type="list" allowBlank="1" showInputMessage="1" showErrorMessage="1" sqref="C2:C31" xr:uid="{EDAB07EF-5602-48E5-B97A-65377BDA7251}">
      <formula1>"North, East, South, West"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2026-06-08T04:29:15Z</dcterms:created>
  <dcterms:modified xsi:type="dcterms:W3CDTF">2026-06-08T07:17:50Z</dcterms:modified>
</cp:coreProperties>
</file>