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13_ncr:1_{FD30C3F7-86EC-4924-B785-D7F77405FA08}" xr6:coauthVersionLast="47" xr6:coauthVersionMax="47" xr10:uidLastSave="{00000000-0000-0000-0000-000000000000}"/>
  <bookViews>
    <workbookView xWindow="-120" yWindow="-120" windowWidth="29040" windowHeight="15720" xr2:uid="{509D0729-C961-4B3D-9810-256218F961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 a="1"/>
  <c r="N3" i="1"/>
  <c r="N4" i="1" a="1"/>
  <c r="N4" i="1"/>
  <c r="N5" i="1" a="1"/>
  <c r="N5" i="1"/>
  <c r="N6" i="1" a="1"/>
  <c r="N6" i="1"/>
  <c r="N7" i="1" a="1"/>
  <c r="N7" i="1"/>
  <c r="N8" i="1" a="1"/>
  <c r="N8" i="1"/>
  <c r="N9" i="1" a="1"/>
  <c r="N9" i="1"/>
  <c r="N10" i="1" a="1"/>
  <c r="N10" i="1"/>
  <c r="N11" i="1" a="1"/>
  <c r="N11" i="1"/>
  <c r="N12" i="1" a="1"/>
  <c r="N12" i="1"/>
  <c r="N13" i="1" a="1"/>
  <c r="N13" i="1"/>
  <c r="N14" i="1" a="1"/>
  <c r="N14" i="1"/>
  <c r="N15" i="1" a="1"/>
  <c r="N15" i="1"/>
  <c r="N16" i="1" a="1"/>
  <c r="N16" i="1"/>
  <c r="N17" i="1" a="1"/>
  <c r="N17" i="1"/>
  <c r="N18" i="1" a="1"/>
  <c r="N18" i="1" s="1"/>
  <c r="N19" i="1" a="1"/>
  <c r="N19" i="1"/>
  <c r="N20" i="1" a="1"/>
  <c r="N20" i="1"/>
  <c r="N21" i="1" a="1"/>
  <c r="N21" i="1"/>
  <c r="N22" i="1" a="1"/>
  <c r="N22" i="1"/>
  <c r="N23" i="1" a="1"/>
  <c r="N23" i="1"/>
  <c r="N24" i="1" a="1"/>
  <c r="N24" i="1"/>
  <c r="N25" i="1" a="1"/>
  <c r="N25" i="1"/>
  <c r="N26" i="1" a="1"/>
  <c r="N26" i="1"/>
  <c r="N27" i="1" a="1"/>
  <c r="N27" i="1" s="1"/>
  <c r="N28" i="1" a="1"/>
  <c r="N28" i="1" s="1"/>
  <c r="N29" i="1" a="1"/>
  <c r="N29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2" i="1" a="1"/>
  <c r="N2" i="1"/>
  <c r="L2" i="1" a="1"/>
  <c r="L2" i="1"/>
  <c r="B3" i="1" a="1"/>
  <c r="B3" i="1"/>
  <c r="B4" i="1" a="1"/>
  <c r="B4" i="1"/>
  <c r="B5" i="1" a="1"/>
  <c r="B5" i="1"/>
  <c r="B6" i="1" a="1"/>
  <c r="B6" i="1"/>
  <c r="B7" i="1" a="1"/>
  <c r="B7" i="1"/>
  <c r="B8" i="1" a="1"/>
  <c r="B8" i="1"/>
  <c r="B9" i="1" a="1"/>
  <c r="B9" i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/>
  <c r="B17" i="1" a="1"/>
  <c r="B17" i="1"/>
  <c r="B18" i="1" a="1"/>
  <c r="B18" i="1"/>
  <c r="B19" i="1" a="1"/>
  <c r="B19" i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/>
  <c r="B27" i="1" a="1"/>
  <c r="B27" i="1"/>
  <c r="B28" i="1" a="1"/>
  <c r="B28" i="1"/>
  <c r="B29" i="1" a="1"/>
  <c r="B29" i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/>
  <c r="B2" i="1" a="1"/>
  <c r="B2" i="1"/>
  <c r="K3" i="1" a="1"/>
  <c r="K3" i="1"/>
  <c r="K4" i="1" a="1"/>
  <c r="K4" i="1"/>
  <c r="K5" i="1" a="1"/>
  <c r="K5" i="1"/>
  <c r="K6" i="1" a="1"/>
  <c r="K6" i="1"/>
  <c r="K7" i="1" a="1"/>
  <c r="K7" i="1"/>
  <c r="K8" i="1" a="1"/>
  <c r="K8" i="1"/>
  <c r="K9" i="1" a="1"/>
  <c r="K9" i="1"/>
  <c r="K10" i="1" a="1"/>
  <c r="K10" i="1"/>
  <c r="K11" i="1" a="1"/>
  <c r="K11" i="1"/>
  <c r="K12" i="1" a="1"/>
  <c r="K12" i="1" s="1"/>
  <c r="K13" i="1" a="1"/>
  <c r="K13" i="1" s="1"/>
  <c r="K14" i="1" a="1"/>
  <c r="K14" i="1"/>
  <c r="K15" i="1" a="1"/>
  <c r="K15" i="1"/>
  <c r="K16" i="1" a="1"/>
  <c r="K16" i="1"/>
  <c r="K17" i="1" a="1"/>
  <c r="K17" i="1" s="1"/>
  <c r="K18" i="1" a="1"/>
  <c r="K18" i="1"/>
  <c r="K19" i="1" a="1"/>
  <c r="K19" i="1"/>
  <c r="K20" i="1" a="1"/>
  <c r="K20" i="1"/>
  <c r="K21" i="1" a="1"/>
  <c r="K21" i="1" s="1"/>
  <c r="K22" i="1" a="1"/>
  <c r="K22" i="1" s="1"/>
  <c r="K23" i="1" a="1"/>
  <c r="K23" i="1"/>
  <c r="K24" i="1" a="1"/>
  <c r="K24" i="1"/>
  <c r="K25" i="1" a="1"/>
  <c r="K25" i="1"/>
  <c r="K26" i="1" a="1"/>
  <c r="K26" i="1" s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 s="1"/>
  <c r="K34" i="1" a="1"/>
  <c r="K34" i="1" s="1"/>
  <c r="K35" i="1" a="1"/>
  <c r="K35" i="1" s="1"/>
  <c r="K36" i="1" a="1"/>
  <c r="K36" i="1"/>
  <c r="K2" i="1" a="1"/>
  <c r="K2" i="1" s="1"/>
  <c r="G2" i="1"/>
  <c r="G3" i="1" l="1"/>
  <c r="L3" i="1" s="1" a="1"/>
  <c r="L3" i="1" s="1"/>
  <c r="G36" i="1"/>
  <c r="L36" i="1" s="1" a="1"/>
  <c r="L36" i="1" s="1"/>
  <c r="G35" i="1"/>
  <c r="L35" i="1" s="1" a="1"/>
  <c r="L35" i="1" s="1"/>
  <c r="G34" i="1"/>
  <c r="L34" i="1" s="1" a="1"/>
  <c r="L34" i="1" s="1"/>
  <c r="G33" i="1"/>
  <c r="L33" i="1" s="1" a="1"/>
  <c r="L33" i="1" s="1"/>
  <c r="G32" i="1"/>
  <c r="L32" i="1" s="1" a="1"/>
  <c r="L32" i="1" s="1"/>
  <c r="G31" i="1"/>
  <c r="L31" i="1" s="1" a="1"/>
  <c r="L31" i="1" s="1"/>
  <c r="G30" i="1"/>
  <c r="L30" i="1" s="1" a="1"/>
  <c r="L30" i="1" s="1"/>
  <c r="G29" i="1"/>
  <c r="L29" i="1" s="1" a="1"/>
  <c r="L29" i="1" s="1"/>
  <c r="G28" i="1"/>
  <c r="L28" i="1" s="1" a="1"/>
  <c r="L28" i="1" s="1"/>
  <c r="G27" i="1"/>
  <c r="L27" i="1" s="1" a="1"/>
  <c r="L27" i="1" s="1"/>
  <c r="G26" i="1"/>
  <c r="L26" i="1" s="1" a="1"/>
  <c r="L26" i="1" s="1"/>
  <c r="G25" i="1"/>
  <c r="L25" i="1" s="1" a="1"/>
  <c r="L25" i="1" s="1"/>
  <c r="G24" i="1"/>
  <c r="L24" i="1" s="1" a="1"/>
  <c r="L24" i="1" s="1"/>
  <c r="G23" i="1"/>
  <c r="L23" i="1" s="1" a="1"/>
  <c r="L23" i="1" s="1"/>
  <c r="G22" i="1"/>
  <c r="L22" i="1" s="1" a="1"/>
  <c r="L22" i="1" s="1"/>
  <c r="G21" i="1"/>
  <c r="L21" i="1" s="1" a="1"/>
  <c r="L21" i="1" s="1"/>
  <c r="G20" i="1"/>
  <c r="L20" i="1" s="1" a="1"/>
  <c r="L20" i="1" s="1"/>
  <c r="G19" i="1"/>
  <c r="L19" i="1" s="1" a="1"/>
  <c r="L19" i="1" s="1"/>
  <c r="G18" i="1"/>
  <c r="L18" i="1" s="1" a="1"/>
  <c r="L18" i="1" s="1"/>
  <c r="G17" i="1"/>
  <c r="L17" i="1" s="1" a="1"/>
  <c r="L17" i="1" s="1"/>
  <c r="G16" i="1"/>
  <c r="L16" i="1" s="1" a="1"/>
  <c r="L16" i="1" s="1"/>
  <c r="G15" i="1"/>
  <c r="L15" i="1" s="1" a="1"/>
  <c r="L15" i="1" s="1"/>
  <c r="G14" i="1"/>
  <c r="L14" i="1" s="1" a="1"/>
  <c r="L14" i="1" s="1"/>
  <c r="G13" i="1"/>
  <c r="L13" i="1" s="1" a="1"/>
  <c r="L13" i="1" s="1"/>
  <c r="G12" i="1"/>
  <c r="L12" i="1" s="1" a="1"/>
  <c r="L12" i="1" s="1"/>
  <c r="G11" i="1"/>
  <c r="L11" i="1" s="1" a="1"/>
  <c r="L11" i="1" s="1"/>
  <c r="G10" i="1"/>
  <c r="L10" i="1" s="1" a="1"/>
  <c r="L10" i="1" s="1"/>
  <c r="G9" i="1"/>
  <c r="L9" i="1" s="1" a="1"/>
  <c r="L9" i="1" s="1"/>
  <c r="G8" i="1"/>
  <c r="L8" i="1" s="1" a="1"/>
  <c r="L8" i="1" s="1"/>
  <c r="G7" i="1"/>
  <c r="L7" i="1" s="1" a="1"/>
  <c r="L7" i="1" s="1"/>
  <c r="G6" i="1"/>
  <c r="L6" i="1" s="1" a="1"/>
  <c r="L6" i="1" s="1"/>
  <c r="G5" i="1"/>
  <c r="L5" i="1" s="1" a="1"/>
  <c r="L5" i="1" s="1"/>
  <c r="G4" i="1"/>
  <c r="L4" i="1" s="1" a="1"/>
  <c r="L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<sst xmlns="http://schemas.openxmlformats.org/spreadsheetml/2006/main" count="173" uniqueCount="88">
  <si>
    <t>First Name</t>
  </si>
  <si>
    <t>Gender</t>
  </si>
  <si>
    <t>Age</t>
  </si>
  <si>
    <t>Salary</t>
  </si>
  <si>
    <t>Expenditure</t>
  </si>
  <si>
    <t>Savings</t>
  </si>
  <si>
    <t xml:space="preserve">Aditi </t>
  </si>
  <si>
    <t>Female</t>
  </si>
  <si>
    <t>Sona</t>
  </si>
  <si>
    <t>Devi</t>
  </si>
  <si>
    <t>Anjali</t>
  </si>
  <si>
    <t>Sahil</t>
  </si>
  <si>
    <t>Male</t>
  </si>
  <si>
    <t>Adhira</t>
  </si>
  <si>
    <t>Divya</t>
  </si>
  <si>
    <t>Amar</t>
  </si>
  <si>
    <t>Jaya</t>
  </si>
  <si>
    <t>Candy</t>
  </si>
  <si>
    <t>Sudhir</t>
  </si>
  <si>
    <t>Raghav</t>
  </si>
  <si>
    <t>Amitabh</t>
  </si>
  <si>
    <t>Kanak</t>
  </si>
  <si>
    <t>Tulsi</t>
  </si>
  <si>
    <t>Jasleen</t>
  </si>
  <si>
    <t>Nil</t>
  </si>
  <si>
    <t>Anand</t>
  </si>
  <si>
    <t>Atharva</t>
  </si>
  <si>
    <t>Charu</t>
  </si>
  <si>
    <t>Ajay</t>
  </si>
  <si>
    <t>Jai</t>
  </si>
  <si>
    <t xml:space="preserve">Ishaan </t>
  </si>
  <si>
    <t>Dhruva</t>
  </si>
  <si>
    <t>Artha</t>
  </si>
  <si>
    <t>Shaila</t>
  </si>
  <si>
    <t>Inaya</t>
  </si>
  <si>
    <t>Darsh</t>
  </si>
  <si>
    <t>Mihir</t>
  </si>
  <si>
    <t>Agastya</t>
  </si>
  <si>
    <t>Shaan</t>
  </si>
  <si>
    <t xml:space="preserve">Navi </t>
  </si>
  <si>
    <t>Ambar</t>
  </si>
  <si>
    <t xml:space="preserve">Lata </t>
  </si>
  <si>
    <t>Anaya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</si>
  <si>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</si>
  <si>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</si>
  <si>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</si>
  <si>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</si>
  <si>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</si>
  <si>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</si>
  <si>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</si>
  <si>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</si>
  <si>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</si>
  <si>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</si>
  <si>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</si>
  <si>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</si>
  <si>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</si>
  <si>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</si>
  <si>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</si>
  <si>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</si>
  <si>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</si>
  <si>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</si>
  <si>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</si>
  <si>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</si>
  <si>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</si>
  <si>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</si>
  <si>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</si>
  <si>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</si>
  <si>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</si>
  <si>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</si>
  <si>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Group</t>
  </si>
  <si>
    <t>F-Test Two-Sample for Variances</t>
  </si>
  <si>
    <t>Mean</t>
  </si>
  <si>
    <t>Observations</t>
  </si>
  <si>
    <t>P(F&lt;=f) one-tail</t>
  </si>
  <si>
    <t>F Critical one-tail</t>
  </si>
  <si>
    <t>z-Test: Two Sample for Means</t>
  </si>
  <si>
    <t>Known Variance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</si>
  <si>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</si>
  <si>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</si>
  <si>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</si>
  <si>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</si>
  <si>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</si>
  <si>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</si>
  <si>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Column1</t>
  </si>
  <si>
    <t>AGEBINS</t>
  </si>
  <si>
    <t>SALARYBINS</t>
  </si>
  <si>
    <t>SAVINGS BIN</t>
  </si>
  <si>
    <t>EXPENDITUREBIN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</si>
</sst>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[$INR]\ * #,##0.00_);_([$INR]\ * \(#,##0.00\);_([$INR]\ 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2" borderId="1" xfId="0" applyFill="1" applyBorder="1" applyAlignment="1">
      <alignment wrapText="1"/>
    </xf>
    <xf numFmtId="0" fontId="0" fillId="0" borderId="1" xfId="0" applyBorder="1"/>
    <xf numFmtId="165" fontId="0" fillId="0" borderId="1" xfId="0" applyNumberFormat="1" applyBorder="1" applyAlignment="1">
      <alignment horizontal="left"/>
    </xf>
    <xf numFmtId="165" fontId="0" fillId="0" borderId="1" xfId="0" applyNumberFormat="1" applyBorder="1"/>
    <xf numFmtId="165" fontId="1" fillId="0" borderId="1" xfId="2" applyNumberFormat="1" applyFont="1" applyBorder="1" applyAlignment="1">
      <alignment horizontal="left" wrapText="1"/>
    </xf>
    <xf numFmtId="165" fontId="0" fillId="0" borderId="1" xfId="0" applyNumberFormat="1" applyBorder="1" applyAlignment="1">
      <alignment vertical="center"/>
    </xf>
    <xf numFmtId="165" fontId="0" fillId="0" borderId="1" xfId="1" applyNumberFormat="1" applyFont="1" applyBorder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3" xfId="0" applyBorder="1"/>
    <xf numFmtId="0" fontId="0" fillId="0" borderId="4" xfId="0" applyBorder="1"/>
    <xf numFmtId="0" fontId="5" fillId="0" borderId="6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0" fillId="3" borderId="1" xfId="0" applyFill="1" applyBorder="1"/>
    <xf numFmtId="0" fontId="6" fillId="0" borderId="0" xfId="0" applyFont="1" applyAlignment="1">
      <alignment horizontal="center"/>
    </xf>
    <xf numFmtId="0" fontId="6" fillId="0" borderId="0" xfId="0" applyFont="1" applyAlignment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79"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79F64B-2976-4324-B855-8F81BFBBA0CF}" name="Table1" displayName="Table1" ref="Q10:U12" totalsRowShown="0" headerRowDxfId="78" dataDxfId="76" headerRowBorderDxfId="77" tableBorderDxfId="75" totalsRowBorderDxfId="74">
  <autoFilter ref="Q10:U12" xr:uid="{A179F64B-2976-4324-B855-8F81BFBBA0CF}"/>
  <tableColumns count="5">
    <tableColumn id="1" xr3:uid="{C85C71BD-87D2-4ED3-8FD9-9C38C625E5D8}" name="Groups" dataDxfId="73"/>
    <tableColumn id="2" xr3:uid="{CEF2F472-A7C8-4D26-83A8-0C7FB7E5E842}" name="Count" dataDxfId="72"/>
    <tableColumn id="3" xr3:uid="{69194209-61EC-4244-A960-FEE22E5FA6D8}" name="Sum" dataDxfId="71"/>
    <tableColumn id="4" xr3:uid="{ED1D07FB-139B-4DC5-8F69-12EC25352558}" name="Average" dataDxfId="70"/>
    <tableColumn id="5" xr3:uid="{A20595CC-8611-4DD1-B3A7-4998BEF50B94}" name="Variance" dataDxfId="69"/>
  </tableColumns>
  <tableStyleInfo name="TableStyleDark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151EC3-5C85-4393-B0D2-578DE693F5EE}" name="Table2" displayName="Table2" ref="Q16:W20" totalsRowShown="0" headerRowDxfId="68" dataDxfId="66" headerRowBorderDxfId="67" tableBorderDxfId="65" totalsRowBorderDxfId="64">
  <autoFilter ref="Q16:W20" xr:uid="{3E151EC3-5C85-4393-B0D2-578DE693F5EE}"/>
  <tableColumns count="7">
    <tableColumn id="1" xr3:uid="{082F5830-E120-499E-993D-FA0BB4E85648}" name="Source of Variation" dataDxfId="63"/>
    <tableColumn id="2" xr3:uid="{DA9D37DE-D152-4918-BDEE-9925185C80C6}" name="SS" dataDxfId="62"/>
    <tableColumn id="3" xr3:uid="{8623A0CB-33F6-48EC-9EB9-8A9A9B20FA81}" name="df" dataDxfId="61"/>
    <tableColumn id="4" xr3:uid="{BD7FBF92-CBC1-4C3C-85A8-BB839304136C}" name="MS" dataDxfId="60"/>
    <tableColumn id="5" xr3:uid="{11EFB520-E9B3-4FE8-A02A-87E5A6EE3441}" name="F" dataDxfId="59"/>
    <tableColumn id="6" xr3:uid="{42FA7E19-225C-4560-B87D-1E384C4B8949}" name="P-value" dataDxfId="58"/>
    <tableColumn id="7" xr3:uid="{1DC72050-D92B-4460-9309-438C53BDCE98}" name="F crit" dataDxfId="57"/>
  </tableColumns>
  <tableStyleInfo name="TableStyleDark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74030A-07C0-4FC5-A73C-46952270FCC3}" name="Table5" displayName="Table5" ref="Z7:AD45" totalsRowShown="0" headerRowDxfId="56" dataDxfId="54" headerRowBorderDxfId="55" tableBorderDxfId="53" totalsRowBorderDxfId="52">
  <autoFilter ref="Z7:AD45" xr:uid="{B574030A-07C0-4FC5-A73C-46952270FCC3}"/>
  <tableColumns count="5">
    <tableColumn id="1" xr3:uid="{C90012CF-34FE-48C5-94D1-001EE2C8190F}" name="SUMMARY" dataDxfId="51"/>
    <tableColumn id="2" xr3:uid="{EBD91CA6-CCE0-4C71-9B11-8B0B0C62688C}" name="Count" dataDxfId="50"/>
    <tableColumn id="3" xr3:uid="{3EF6C3F0-5BBF-46AF-B375-8890E1F1A569}" name="Sum" dataDxfId="49"/>
    <tableColumn id="4" xr3:uid="{EDA9EA8A-D2FF-4307-93BC-89C84749F81C}" name="Average" dataDxfId="48"/>
    <tableColumn id="5" xr3:uid="{C925D012-A2FF-4114-92D1-17A88555D9D1}" name="Variance" dataDxfId="47"/>
  </tableColumns>
  <tableStyleInfo name="TableStyleDark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E27F7C-7BB3-460E-A98D-B22F083D4CC3}" name="Table6" displayName="Table6" ref="Z49:AF54" totalsRowShown="0" headerRowDxfId="46" dataDxfId="44" headerRowBorderDxfId="45" tableBorderDxfId="43" totalsRowBorderDxfId="42">
  <autoFilter ref="Z49:AF54" xr:uid="{3AE27F7C-7BB3-460E-A98D-B22F083D4CC3}"/>
  <tableColumns count="7">
    <tableColumn id="1" xr3:uid="{AA6C8ADE-C3BF-4952-B284-E4FF47F6E8D9}" name="Source of Variation" dataDxfId="41"/>
    <tableColumn id="2" xr3:uid="{BAC7BFC3-790B-4C9B-ADA5-415E0B63E254}" name="SS" dataDxfId="40"/>
    <tableColumn id="3" xr3:uid="{EF1CFC29-8E50-426D-96AF-B456043E3858}" name="df" dataDxfId="39"/>
    <tableColumn id="4" xr3:uid="{F1DBD056-91FC-4616-922B-052DCAA4DC8A}" name="MS" dataDxfId="38"/>
    <tableColumn id="5" xr3:uid="{3463C8DB-9887-4800-B43A-9A76AA4AA822}" name="F" dataDxfId="37"/>
    <tableColumn id="6" xr3:uid="{9CE5C203-EC95-4095-AE4E-BDBFD629C49A}" name="P-value" dataDxfId="36"/>
    <tableColumn id="7" xr3:uid="{1B1137CF-DAB1-41B7-8109-C01BD965B9AA}" name="F crit" dataDxfId="35"/>
  </tableColumns>
  <tableStyleInfo name="TableStyleDark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24D4551-ED2C-4761-9B71-9CC8765782D7}" name="Table7" displayName="Table7" ref="Q27:T32" totalsRowShown="0" headerRowDxfId="34" dataDxfId="32" headerRowBorderDxfId="33" tableBorderDxfId="31" totalsRowBorderDxfId="30">
  <autoFilter ref="Q27:T32" xr:uid="{824D4551-ED2C-4761-9B71-9CC8765782D7}"/>
  <tableColumns count="4">
    <tableColumn id="1" xr3:uid="{B1E8C5A6-0C67-4214-95DD-5F6CAD6EEB7B}" name="SUMMARY" dataDxfId="29"/>
    <tableColumn id="2" xr3:uid="{69F126AE-E984-4A48-9CA6-7EFC272E6597}" name="Male" dataDxfId="28"/>
    <tableColumn id="3" xr3:uid="{A19A3A2F-E56E-4A7C-AC19-CFFD109CD12E}" name="Female" dataDxfId="27"/>
    <tableColumn id="4" xr3:uid="{6534804D-235E-48F8-AA13-CCB72D0521EF}" name="Total" dataDxfId="26"/>
  </tableColumns>
  <tableStyleInfo name="TableStyleDark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34FE89-65EE-4EFB-843E-07D85620AC6C}" name="Table8" displayName="Table8" ref="Q42:W48" totalsRowShown="0" headerRowDxfId="25" dataDxfId="23" headerRowBorderDxfId="24" tableBorderDxfId="22" totalsRowBorderDxfId="21">
  <autoFilter ref="Q42:W48" xr:uid="{5434FE89-65EE-4EFB-843E-07D85620AC6C}"/>
  <tableColumns count="7">
    <tableColumn id="1" xr3:uid="{363329DC-07A2-4C7D-9150-1EDD0916D9B9}" name="Source of Variation" dataDxfId="20"/>
    <tableColumn id="2" xr3:uid="{76B98C9C-2FB2-40A4-B5B8-66A208BA4953}" name="SS" dataDxfId="19"/>
    <tableColumn id="3" xr3:uid="{F767DDC6-1327-42AB-B450-7D5FBB9B35BA}" name="df" dataDxfId="18"/>
    <tableColumn id="4" xr3:uid="{646BDB5B-41D6-449A-8E4C-ECA68B722A6B}" name="MS" dataDxfId="17"/>
    <tableColumn id="5" xr3:uid="{A4A5C24F-9E49-4CBD-B0CA-04F983C240D2}" name="F" dataDxfId="16"/>
    <tableColumn id="6" xr3:uid="{97909BBA-EE5B-4EC6-963B-D7790A09C895}" name="P-value" dataDxfId="15"/>
    <tableColumn id="7" xr3:uid="{B7F9EF2E-14CD-48BA-B82B-AB5D3AF300C7}" name="F crit" dataDxfId="14"/>
  </tableColumns>
  <tableStyleInfo name="TableStyleDark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7B48D6-2815-41CC-A4BF-4662178FA6E8}" name="Table9" displayName="Table9" ref="M58:O65" totalsRowShown="0" headerRowDxfId="13" dataDxfId="11" headerRowBorderDxfId="12" tableBorderDxfId="10">
  <autoFilter ref="M58:O65" xr:uid="{227B48D6-2815-41CC-A4BF-4662178FA6E8}"/>
  <tableColumns count="3">
    <tableColumn id="1" xr3:uid="{1511D16B-DC87-47AE-A7CF-F1B38E41BD0E}" name="Column1" dataDxfId="9"/>
    <tableColumn id="2" xr3:uid="{D50C0D7C-804B-4BB6-93F5-866034E7DC68}" name="Male" dataDxfId="8"/>
    <tableColumn id="3" xr3:uid="{5756B12C-E56F-4669-80C9-2FDAC48E90B7}" name="Female" dataDxfId="7"/>
  </tableColumns>
  <tableStyleInfo name="TableStyleDark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20FBF1-D63E-4DCA-A0DA-5B2FAB64CC51}" name="Table11" displayName="Table11" ref="R59:T68" totalsRowShown="0" headerRowDxfId="6" dataDxfId="4" headerRowBorderDxfId="5" tableBorderDxfId="3">
  <autoFilter ref="R59:T68" xr:uid="{FB20FBF1-D63E-4DCA-A0DA-5B2FAB64CC51}"/>
  <tableColumns count="3">
    <tableColumn id="1" xr3:uid="{068105ED-421F-41E6-991E-A7D653F235AF}" name="Column1" dataDxfId="2"/>
    <tableColumn id="2" xr3:uid="{3F0E1901-E007-46FD-BD08-B6C43E2BA735}" name="Male" dataDxfId="1"/>
    <tableColumn id="3" xr3:uid="{863E1305-A646-4679-9195-8D778AC68B44}" name="Female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1666-D364-45CB-9BF6-E35AF9DC6961}">
  <dimension ref="A1:AF68"/>
  <sheetViews>
    <sheetView tabSelected="1" zoomScale="80" zoomScaleNormal="80" workbookViewId="0">
      <selection activeCell="M39" sqref="L39:M39"/>
    </sheetView>
  </sheetViews>
  <sheetFormatPr defaultRowHeight="15" x14ac:dyDescent="0.25"/>
  <cols>
    <col min="2" max="2" width="19.7109375" customWidth="1"/>
    <col min="5" max="7" width="14.28515625" bestFit="1" customWidth="1"/>
    <col min="13" max="13" width="14.42578125" customWidth="1"/>
    <col min="14" max="14" width="11" customWidth="1"/>
    <col min="15" max="15" width="10.5703125" customWidth="1"/>
    <col min="16" max="16" width="12" customWidth="1"/>
    <col min="17" max="17" width="13.28515625" customWidth="1"/>
    <col min="18" max="18" width="15.85546875" customWidth="1"/>
    <col min="19" max="19" width="12.42578125" customWidth="1"/>
    <col min="20" max="20" width="13.28515625" customWidth="1"/>
    <col min="22" max="22" width="20.140625" customWidth="1"/>
    <col min="23" max="23" width="11" customWidth="1"/>
    <col min="24" max="24" width="10.28515625" customWidth="1"/>
    <col min="25" max="25" width="12" customWidth="1"/>
    <col min="26" max="26" width="12.42578125" customWidth="1"/>
    <col min="27" max="27" width="10" customWidth="1"/>
  </cols>
  <sheetData>
    <row r="1" spans="1:30" ht="30" x14ac:dyDescent="0.25">
      <c r="A1" s="1" t="s">
        <v>0</v>
      </c>
      <c r="B1" s="1" t="s">
        <v>85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0" t="s">
        <v>69</v>
      </c>
      <c r="I1" s="11" t="s">
        <v>12</v>
      </c>
      <c r="J1" s="11" t="s">
        <v>7</v>
      </c>
      <c r="K1" s="32" t="s">
        <v>84</v>
      </c>
      <c r="L1" s="33" t="s">
        <v>86</v>
      </c>
      <c r="M1" s="33"/>
      <c r="N1" s="33" t="s">
        <v>87</v>
      </c>
      <c r="O1" s="33"/>
    </row>
    <row r="2" spans="1:30" x14ac:dyDescent="0.25">
      <c r="A2" s="2" t="s">
        <v>6</v>
      </c>
      <c r="B2" s="2" t="str" cm="1">
        <f t="array" ref="B2">_xlfn.IFS(E2&gt;=70000,"ABOVE 70000",E2&gt;50000,"50000 TO 69999",E2&gt;=30000,"30000 T0 49999",E2&lt;30000,"BELOW30000")</f>
        <v>ABOVE 70000</v>
      </c>
      <c r="C2" s="2" t="s">
        <v>7</v>
      </c>
      <c r="D2" s="2">
        <v>35</v>
      </c>
      <c r="E2" s="3">
        <v>80000</v>
      </c>
      <c r="F2" s="4">
        <v>65000</v>
      </c>
      <c r="G2" s="4">
        <f>E2-F2</f>
        <v>15000</v>
      </c>
      <c r="H2" s="8">
        <v>1</v>
      </c>
      <c r="I2" s="9">
        <v>42000</v>
      </c>
      <c r="J2" s="9">
        <v>48000</v>
      </c>
      <c r="K2" s="18" t="str" cm="1">
        <f t="array" ref="K2">_xlfn.IFS(D2&gt;80,"above 80",D2&gt;60,"61-80",D2&gt;40,"41-60",D2&gt;20,"21-40",D2&lt;=20,"below 20")</f>
        <v>21-40</v>
      </c>
      <c r="L2" s="2" t="str" cm="1">
        <f t="array" ref="L2">_xlfn.IFS(G2&gt;5000,"GREATER THAN 5000",G2&gt;=3000,"3000 TO 4999",G2&lt;3000,"LESS THAN 3000")</f>
        <v>GREATER THAN 5000</v>
      </c>
      <c r="M2" s="2"/>
      <c r="N2" s="34" t="str" cm="1">
        <f t="array" ref="N2">_xlfn.IFS(F2&gt;60000,"&gt;60000",F2&gt;=40000,"40000 TO 59999",F2&gt;=25000,"25000 TO 39999",F2&lt;25000,"BELOW 25000")</f>
        <v>&gt;60000</v>
      </c>
      <c r="O2" s="35"/>
    </row>
    <row r="3" spans="1:30" x14ac:dyDescent="0.25">
      <c r="A3" s="2" t="s">
        <v>8</v>
      </c>
      <c r="B3" s="2" t="str" cm="1">
        <f t="array" ref="B3">_xlfn.IFS(E3&gt;=70000,"ABOVE 70000",E3&gt;50000,"50000 TO 69999",E3&gt;=30000,"30000 T0 49999",E3&lt;30000,"BELOW30000")</f>
        <v>ABOVE 70000</v>
      </c>
      <c r="C3" s="2" t="s">
        <v>7</v>
      </c>
      <c r="D3" s="2">
        <v>35</v>
      </c>
      <c r="E3" s="5">
        <v>70000</v>
      </c>
      <c r="F3" s="6">
        <v>58000</v>
      </c>
      <c r="G3" s="4">
        <f>E3-F3</f>
        <v>12000</v>
      </c>
      <c r="H3" s="8">
        <v>2</v>
      </c>
      <c r="I3" s="9">
        <v>45000</v>
      </c>
      <c r="J3" s="9">
        <v>50000</v>
      </c>
      <c r="K3" s="18" t="str" cm="1">
        <f t="array" ref="K3">_xlfn.IFS(D3&gt;80,"above 80",D3&gt;60,"61-80",D3&gt;40,"41-60",D3&gt;20,"21-40",D3&lt;=20,"below 20")</f>
        <v>21-40</v>
      </c>
      <c r="L3" s="2" t="str" cm="1">
        <f t="array" ref="L3">_xlfn.IFS(G3&gt;5000,"GREATER THAN 5000",G3&gt;=3000,"3000 TO 4999",G3&lt;3000,"LESS THAN 3000")</f>
        <v>GREATER THAN 5000</v>
      </c>
      <c r="M3" s="2"/>
      <c r="N3" s="2" t="str" cm="1">
        <f t="array" ref="N3">_xlfn.IFS(F3&gt;60000,"&gt;60000",F3&gt;=40000,"40000 TO 59999",F3&gt;=25000,"25000 TO 39999",F3&lt;25000,"BELOW 25000")</f>
        <v>40000 TO 59999</v>
      </c>
      <c r="O3" s="2"/>
    </row>
    <row r="4" spans="1:30" x14ac:dyDescent="0.25">
      <c r="A4" s="2" t="s">
        <v>9</v>
      </c>
      <c r="B4" s="2" t="str" cm="1">
        <f t="array" ref="B4">_xlfn.IFS(E4&gt;=70000,"ABOVE 70000",E4&gt;50000,"50000 TO 69999",E4&gt;=30000,"30000 T0 49999",E4&lt;30000,"BELOW30000")</f>
        <v>50000 TO 69999</v>
      </c>
      <c r="C4" s="2" t="s">
        <v>7</v>
      </c>
      <c r="D4" s="2">
        <v>36</v>
      </c>
      <c r="E4" s="5">
        <v>65000</v>
      </c>
      <c r="F4" s="6">
        <v>60000</v>
      </c>
      <c r="G4" s="4">
        <f t="shared" ref="G4:G36" si="0">E4-F4</f>
        <v>5000</v>
      </c>
      <c r="H4" s="8">
        <v>3</v>
      </c>
      <c r="I4" s="9">
        <v>40000</v>
      </c>
      <c r="J4" s="9">
        <v>47000</v>
      </c>
      <c r="K4" s="18" t="str" cm="1">
        <f t="array" ref="K4">_xlfn.IFS(D4&gt;80,"above 80",D4&gt;60,"61-80",D4&gt;40,"41-60",D4&gt;20,"21-40",D4&lt;=20,"below 20")</f>
        <v>21-40</v>
      </c>
      <c r="L4" s="2" t="str" cm="1">
        <f t="array" ref="L4">_xlfn.IFS(G4&gt;5000,"GREATER THAN 5000",G4&gt;=3000,"3000 TO 4999",G4&lt;3000,"LESS THAN 3000")</f>
        <v>3000 TO 4999</v>
      </c>
      <c r="M4" s="2"/>
      <c r="N4" s="2" t="str" cm="1">
        <f t="array" ref="N4">_xlfn.IFS(F4&gt;60000,"&gt;60000",F4&gt;=40000,"40000 TO 59999",F4&gt;=25000,"25000 TO 39999",F4&lt;25000,"BELOW 25000")</f>
        <v>40000 TO 59999</v>
      </c>
      <c r="O4" s="2"/>
    </row>
    <row r="5" spans="1:30" ht="18.75" x14ac:dyDescent="0.3">
      <c r="A5" s="2" t="s">
        <v>10</v>
      </c>
      <c r="B5" s="2" t="str" cm="1">
        <f t="array" ref="B5">_xlfn.IFS(E5&gt;=70000,"ABOVE 70000",E5&gt;50000,"50000 TO 69999",E5&gt;=30000,"30000 T0 49999",E5&lt;30000,"BELOW30000")</f>
        <v>50000 TO 69999</v>
      </c>
      <c r="C5" s="2" t="s">
        <v>7</v>
      </c>
      <c r="D5" s="2">
        <v>42</v>
      </c>
      <c r="E5" s="3">
        <v>62000</v>
      </c>
      <c r="F5" s="4">
        <v>50000</v>
      </c>
      <c r="G5" s="4">
        <f t="shared" si="0"/>
        <v>12000</v>
      </c>
      <c r="H5" s="8">
        <v>4</v>
      </c>
      <c r="I5" s="9">
        <v>43000</v>
      </c>
      <c r="J5" s="9">
        <v>49000</v>
      </c>
      <c r="K5" s="18" t="str" cm="1">
        <f t="array" ref="K5">_xlfn.IFS(D5&gt;80,"above 80",D5&gt;60,"61-80",D5&gt;40,"41-60",D5&gt;20,"21-40",D5&lt;=20,"below 20")</f>
        <v>41-60</v>
      </c>
      <c r="L5" s="2" t="str" cm="1">
        <f t="array" ref="L5">_xlfn.IFS(G5&gt;5000,"GREATER THAN 5000",G5&gt;=3000,"3000 TO 4999",G5&lt;3000,"LESS THAN 3000")</f>
        <v>GREATER THAN 5000</v>
      </c>
      <c r="M5" s="2"/>
      <c r="N5" s="2" t="str" cm="1">
        <f t="array" ref="N5">_xlfn.IFS(F5&gt;60000,"&gt;60000",F5&gt;=40000,"40000 TO 59999",F5&gt;=25000,"25000 TO 39999",F5&lt;25000,"BELOW 25000")</f>
        <v>40000 TO 59999</v>
      </c>
      <c r="O5" s="2"/>
      <c r="Z5" s="31" t="s">
        <v>66</v>
      </c>
      <c r="AA5" s="31"/>
      <c r="AB5" s="31"/>
      <c r="AC5" s="31"/>
      <c r="AD5" s="31"/>
    </row>
    <row r="6" spans="1:30" x14ac:dyDescent="0.25">
      <c r="A6" s="2" t="s">
        <v>11</v>
      </c>
      <c r="B6" s="2" t="str" cm="1">
        <f t="array" ref="B6">_xlfn.IFS(E6&gt;=70000,"ABOVE 70000",E6&gt;50000,"50000 TO 69999",E6&gt;=30000,"30000 T0 49999",E6&lt;30000,"BELOW30000")</f>
        <v>50000 TO 69999</v>
      </c>
      <c r="C6" s="2" t="s">
        <v>12</v>
      </c>
      <c r="D6" s="2">
        <v>29</v>
      </c>
      <c r="E6" s="3">
        <v>62000</v>
      </c>
      <c r="F6" s="4">
        <v>57000</v>
      </c>
      <c r="G6" s="4">
        <f t="shared" si="0"/>
        <v>5000</v>
      </c>
      <c r="H6" s="8">
        <v>5</v>
      </c>
      <c r="I6" s="9">
        <v>41000</v>
      </c>
      <c r="J6" s="9">
        <v>46000</v>
      </c>
      <c r="K6" s="18" t="str" cm="1">
        <f t="array" ref="K6">_xlfn.IFS(D6&gt;80,"above 80",D6&gt;60,"61-80",D6&gt;40,"41-60",D6&gt;20,"21-40",D6&lt;=20,"below 20")</f>
        <v>21-40</v>
      </c>
      <c r="L6" s="2" t="str" cm="1">
        <f t="array" ref="L6">_xlfn.IFS(G6&gt;5000,"GREATER THAN 5000",G6&gt;=3000,"3000 TO 4999",G6&lt;3000,"LESS THAN 3000")</f>
        <v>3000 TO 4999</v>
      </c>
      <c r="M6" s="2"/>
      <c r="N6" s="2" t="str" cm="1">
        <f t="array" ref="N6">_xlfn.IFS(F6&gt;60000,"&gt;60000",F6&gt;=40000,"40000 TO 59999",F6&gt;=25000,"25000 TO 39999",F6&lt;25000,"BELOW 25000")</f>
        <v>40000 TO 59999</v>
      </c>
      <c r="O6" s="2"/>
    </row>
    <row r="7" spans="1:30" ht="18.75" x14ac:dyDescent="0.3">
      <c r="A7" s="2" t="s">
        <v>13</v>
      </c>
      <c r="B7" s="2" t="str" cm="1">
        <f t="array" ref="B7">_xlfn.IFS(E7&gt;=70000,"ABOVE 70000",E7&gt;50000,"50000 TO 69999",E7&gt;=30000,"30000 T0 49999",E7&lt;30000,"BELOW30000")</f>
        <v>50000 TO 69999</v>
      </c>
      <c r="C7" s="2" t="s">
        <v>12</v>
      </c>
      <c r="D7" s="2">
        <v>42</v>
      </c>
      <c r="E7" s="5">
        <v>62000</v>
      </c>
      <c r="F7" s="6">
        <v>59000</v>
      </c>
      <c r="G7" s="4">
        <f t="shared" si="0"/>
        <v>3000</v>
      </c>
      <c r="H7" s="8">
        <v>6</v>
      </c>
      <c r="I7" s="9">
        <v>55000</v>
      </c>
      <c r="J7" s="9">
        <v>62000</v>
      </c>
      <c r="K7" s="18" t="str" cm="1">
        <f t="array" ref="K7">_xlfn.IFS(D7&gt;80,"above 80",D7&gt;60,"61-80",D7&gt;40,"41-60",D7&gt;20,"21-40",D7&lt;=20,"below 20")</f>
        <v>41-60</v>
      </c>
      <c r="L7" s="2" t="str" cm="1">
        <f t="array" ref="L7">_xlfn.IFS(G7&gt;5000,"GREATER THAN 5000",G7&gt;=3000,"3000 TO 4999",G7&lt;3000,"LESS THAN 3000")</f>
        <v>3000 TO 4999</v>
      </c>
      <c r="M7" s="2"/>
      <c r="N7" s="2" t="str" cm="1">
        <f t="array" ref="N7">_xlfn.IFS(F7&gt;60000,"&gt;60000",F7&gt;=40000,"40000 TO 59999",F7&gt;=25000,"25000 TO 39999",F7&lt;25000,"BELOW 25000")</f>
        <v>40000 TO 59999</v>
      </c>
      <c r="O7" s="2"/>
      <c r="Q7" s="31" t="s">
        <v>43</v>
      </c>
      <c r="R7" s="31"/>
      <c r="S7" s="31"/>
      <c r="Z7" s="14" t="s">
        <v>44</v>
      </c>
      <c r="AA7" s="15" t="s">
        <v>46</v>
      </c>
      <c r="AB7" s="15" t="s">
        <v>47</v>
      </c>
      <c r="AC7" s="15" t="s">
        <v>48</v>
      </c>
      <c r="AD7" s="16" t="s">
        <v>49</v>
      </c>
    </row>
    <row r="8" spans="1:30" x14ac:dyDescent="0.25">
      <c r="A8" s="2" t="s">
        <v>14</v>
      </c>
      <c r="B8" s="2" t="str" cm="1">
        <f t="array" ref="B8">_xlfn.IFS(E8&gt;=70000,"ABOVE 70000",E8&gt;50000,"50000 TO 69999",E8&gt;=30000,"30000 T0 49999",E8&lt;30000,"BELOW30000")</f>
        <v>50000 TO 69999</v>
      </c>
      <c r="C8" s="2" t="s">
        <v>7</v>
      </c>
      <c r="D8" s="2">
        <v>42</v>
      </c>
      <c r="E8" s="5">
        <v>52500</v>
      </c>
      <c r="F8" s="6">
        <v>47000</v>
      </c>
      <c r="G8" s="4">
        <f t="shared" si="0"/>
        <v>5500</v>
      </c>
      <c r="H8" s="8">
        <v>7</v>
      </c>
      <c r="I8" s="9">
        <v>58000</v>
      </c>
      <c r="J8" s="9">
        <v>60000</v>
      </c>
      <c r="K8" s="18" t="str" cm="1">
        <f t="array" ref="K8">_xlfn.IFS(D8&gt;80,"above 80",D8&gt;60,"61-80",D8&gt;40,"41-60",D8&gt;20,"21-40",D8&lt;=20,"below 20")</f>
        <v>41-60</v>
      </c>
      <c r="L8" s="2" t="str" cm="1">
        <f t="array" ref="L8">_xlfn.IFS(G8&gt;5000,"GREATER THAN 5000",G8&gt;=3000,"3000 TO 4999",G8&lt;3000,"LESS THAN 3000")</f>
        <v>GREATER THAN 5000</v>
      </c>
      <c r="M8" s="2"/>
      <c r="N8" s="2" t="str" cm="1">
        <f t="array" ref="N8">_xlfn.IFS(F8&gt;60000,"&gt;60000",F8&gt;=40000,"40000 TO 59999",F8&gt;=25000,"25000 TO 39999",F8&lt;25000,"BELOW 25000")</f>
        <v>40000 TO 59999</v>
      </c>
      <c r="O8" s="2"/>
      <c r="Z8" s="17">
        <v>1</v>
      </c>
      <c r="AA8" s="2">
        <v>2</v>
      </c>
      <c r="AB8" s="2">
        <v>90000</v>
      </c>
      <c r="AC8" s="2">
        <v>45000</v>
      </c>
      <c r="AD8" s="18">
        <v>18000000</v>
      </c>
    </row>
    <row r="9" spans="1:30" x14ac:dyDescent="0.25">
      <c r="A9" s="2" t="s">
        <v>15</v>
      </c>
      <c r="B9" s="2" t="str" cm="1">
        <f t="array" ref="B9">_xlfn.IFS(E9&gt;=70000,"ABOVE 70000",E9&gt;50000,"50000 TO 69999",E9&gt;=30000,"30000 T0 49999",E9&lt;30000,"BELOW30000")</f>
        <v>50000 TO 69999</v>
      </c>
      <c r="C9" s="2" t="s">
        <v>12</v>
      </c>
      <c r="D9" s="2">
        <v>52</v>
      </c>
      <c r="E9" s="3">
        <v>52100</v>
      </c>
      <c r="F9" s="4">
        <v>46000</v>
      </c>
      <c r="G9" s="4">
        <f t="shared" si="0"/>
        <v>6100</v>
      </c>
      <c r="H9" s="8">
        <v>8</v>
      </c>
      <c r="I9" s="9">
        <v>56000</v>
      </c>
      <c r="J9" s="9">
        <v>63000</v>
      </c>
      <c r="K9" s="18" t="str" cm="1">
        <f t="array" ref="K9">_xlfn.IFS(D9&gt;80,"above 80",D9&gt;60,"61-80",D9&gt;40,"41-60",D9&gt;20,"21-40",D9&lt;=20,"below 20")</f>
        <v>41-60</v>
      </c>
      <c r="L9" s="2" t="str" cm="1">
        <f t="array" ref="L9">_xlfn.IFS(G9&gt;5000,"GREATER THAN 5000",G9&gt;=3000,"3000 TO 4999",G9&lt;3000,"LESS THAN 3000")</f>
        <v>GREATER THAN 5000</v>
      </c>
      <c r="M9" s="2"/>
      <c r="N9" s="2" t="str" cm="1">
        <f t="array" ref="N9">_xlfn.IFS(F9&gt;60000,"&gt;60000",F9&gt;=40000,"40000 TO 59999",F9&gt;=25000,"25000 TO 39999",F9&lt;25000,"BELOW 25000")</f>
        <v>40000 TO 59999</v>
      </c>
      <c r="O9" s="2"/>
      <c r="Q9" t="s">
        <v>44</v>
      </c>
      <c r="Z9" s="17">
        <v>2</v>
      </c>
      <c r="AA9" s="2">
        <v>2</v>
      </c>
      <c r="AB9" s="2">
        <v>95000</v>
      </c>
      <c r="AC9" s="2">
        <v>47500</v>
      </c>
      <c r="AD9" s="18">
        <v>12500000</v>
      </c>
    </row>
    <row r="10" spans="1:30" x14ac:dyDescent="0.25">
      <c r="A10" s="2" t="s">
        <v>16</v>
      </c>
      <c r="B10" s="2" t="str" cm="1">
        <f t="array" ref="B10">_xlfn.IFS(E10&gt;=70000,"ABOVE 70000",E10&gt;50000,"50000 TO 69999",E10&gt;=30000,"30000 T0 49999",E10&lt;30000,"BELOW30000")</f>
        <v>50000 TO 69999</v>
      </c>
      <c r="C10" s="2" t="s">
        <v>7</v>
      </c>
      <c r="D10" s="2">
        <v>28</v>
      </c>
      <c r="E10" s="3">
        <v>52000</v>
      </c>
      <c r="F10" s="4">
        <v>46000</v>
      </c>
      <c r="G10" s="4">
        <f t="shared" si="0"/>
        <v>6000</v>
      </c>
      <c r="H10" s="8">
        <v>9</v>
      </c>
      <c r="I10" s="9">
        <v>54000</v>
      </c>
      <c r="J10" s="9">
        <v>61000</v>
      </c>
      <c r="K10" s="18" t="str" cm="1">
        <f t="array" ref="K10">_xlfn.IFS(D10&gt;80,"above 80",D10&gt;60,"61-80",D10&gt;40,"41-60",D10&gt;20,"21-40",D10&lt;=20,"below 20")</f>
        <v>21-40</v>
      </c>
      <c r="L10" s="2" t="str" cm="1">
        <f t="array" ref="L10">_xlfn.IFS(G10&gt;5000,"GREATER THAN 5000",G10&gt;=3000,"3000 TO 4999",G10&lt;3000,"LESS THAN 3000")</f>
        <v>GREATER THAN 5000</v>
      </c>
      <c r="M10" s="2"/>
      <c r="N10" s="2" t="str" cm="1">
        <f t="array" ref="N10">_xlfn.IFS(F10&gt;60000,"&gt;60000",F10&gt;=40000,"40000 TO 59999",F10&gt;=25000,"25000 TO 39999",F10&lt;25000,"BELOW 25000")</f>
        <v>40000 TO 59999</v>
      </c>
      <c r="O10" s="2"/>
      <c r="Q10" s="14" t="s">
        <v>45</v>
      </c>
      <c r="R10" s="15" t="s">
        <v>46</v>
      </c>
      <c r="S10" s="15" t="s">
        <v>47</v>
      </c>
      <c r="T10" s="15" t="s">
        <v>48</v>
      </c>
      <c r="U10" s="16" t="s">
        <v>49</v>
      </c>
      <c r="Z10" s="17">
        <v>3</v>
      </c>
      <c r="AA10" s="2">
        <v>2</v>
      </c>
      <c r="AB10" s="2">
        <v>87000</v>
      </c>
      <c r="AC10" s="2">
        <v>43500</v>
      </c>
      <c r="AD10" s="18">
        <v>24500000</v>
      </c>
    </row>
    <row r="11" spans="1:30" x14ac:dyDescent="0.25">
      <c r="A11" s="2" t="s">
        <v>17</v>
      </c>
      <c r="B11" s="2" t="str" cm="1">
        <f t="array" ref="B11">_xlfn.IFS(E11&gt;=70000,"ABOVE 70000",E11&gt;50000,"50000 TO 69999",E11&gt;=30000,"30000 T0 49999",E11&lt;30000,"BELOW30000")</f>
        <v>50000 TO 69999</v>
      </c>
      <c r="C11" s="2" t="s">
        <v>7</v>
      </c>
      <c r="D11" s="2">
        <v>35</v>
      </c>
      <c r="E11" s="5">
        <v>52000</v>
      </c>
      <c r="F11" s="6">
        <v>40000</v>
      </c>
      <c r="G11" s="4">
        <f t="shared" si="0"/>
        <v>12000</v>
      </c>
      <c r="H11" s="8">
        <v>10</v>
      </c>
      <c r="I11" s="9">
        <v>57000</v>
      </c>
      <c r="J11" s="9">
        <v>64000</v>
      </c>
      <c r="K11" s="18" t="str" cm="1">
        <f t="array" ref="K11">_xlfn.IFS(D11&gt;80,"above 80",D11&gt;60,"61-80",D11&gt;40,"41-60",D11&gt;20,"21-40",D11&lt;=20,"below 20")</f>
        <v>21-40</v>
      </c>
      <c r="L11" s="2" t="str" cm="1">
        <f t="array" ref="L11">_xlfn.IFS(G11&gt;5000,"GREATER THAN 5000",G11&gt;=3000,"3000 TO 4999",G11&lt;3000,"LESS THAN 3000")</f>
        <v>GREATER THAN 5000</v>
      </c>
      <c r="M11" s="2"/>
      <c r="N11" s="2" t="str" cm="1">
        <f t="array" ref="N11">_xlfn.IFS(F11&gt;60000,"&gt;60000",F11&gt;=40000,"40000 TO 59999",F11&gt;=25000,"25000 TO 39999",F11&lt;25000,"BELOW 25000")</f>
        <v>40000 TO 59999</v>
      </c>
      <c r="O11" s="2"/>
      <c r="Q11" s="17" t="s">
        <v>3</v>
      </c>
      <c r="R11" s="2">
        <v>35</v>
      </c>
      <c r="S11" s="2">
        <v>1520600</v>
      </c>
      <c r="T11" s="2">
        <v>43445.714285714283</v>
      </c>
      <c r="U11" s="18">
        <v>208904319.32773119</v>
      </c>
      <c r="Z11" s="17">
        <v>4</v>
      </c>
      <c r="AA11" s="2">
        <v>2</v>
      </c>
      <c r="AB11" s="2">
        <v>92000</v>
      </c>
      <c r="AC11" s="2">
        <v>46000</v>
      </c>
      <c r="AD11" s="18">
        <v>18000000</v>
      </c>
    </row>
    <row r="12" spans="1:30" x14ac:dyDescent="0.25">
      <c r="A12" s="2" t="s">
        <v>18</v>
      </c>
      <c r="B12" s="2" t="str" cm="1">
        <f t="array" ref="B12">_xlfn.IFS(E12&gt;=70000,"ABOVE 70000",E12&gt;50000,"50000 TO 69999",E12&gt;=30000,"30000 T0 49999",E12&lt;30000,"BELOW30000")</f>
        <v>50000 TO 69999</v>
      </c>
      <c r="C12" s="2" t="s">
        <v>12</v>
      </c>
      <c r="D12" s="2">
        <v>35</v>
      </c>
      <c r="E12" s="5">
        <v>52000</v>
      </c>
      <c r="F12" s="6">
        <v>47000</v>
      </c>
      <c r="G12" s="4">
        <f t="shared" si="0"/>
        <v>5000</v>
      </c>
      <c r="H12" s="8">
        <v>11</v>
      </c>
      <c r="I12" s="9">
        <v>65000</v>
      </c>
      <c r="J12" s="9">
        <v>72000</v>
      </c>
      <c r="K12" s="18" t="str" cm="1">
        <f t="array" ref="K12">_xlfn.IFS(D12&gt;80,"above 80",D12&gt;60,"61-80",D12&gt;40,"41-60",D12&gt;20,"21-40",D12&lt;=20,"below 20")</f>
        <v>21-40</v>
      </c>
      <c r="L12" s="2" t="str" cm="1">
        <f t="array" ref="L12">_xlfn.IFS(G12&gt;5000,"GREATER THAN 5000",G12&gt;=3000,"3000 TO 4999",G12&lt;3000,"LESS THAN 3000")</f>
        <v>3000 TO 4999</v>
      </c>
      <c r="M12" s="2"/>
      <c r="N12" s="2" t="str" cm="1">
        <f t="array" ref="N12">_xlfn.IFS(F12&gt;60000,"&gt;60000",F12&gt;=40000,"40000 TO 59999",F12&gt;=25000,"25000 TO 39999",F12&lt;25000,"BELOW 25000")</f>
        <v>40000 TO 59999</v>
      </c>
      <c r="O12" s="2"/>
      <c r="Q12" s="19" t="s">
        <v>4</v>
      </c>
      <c r="R12" s="20">
        <v>35</v>
      </c>
      <c r="S12" s="20">
        <v>1319000</v>
      </c>
      <c r="T12" s="20">
        <v>37685.714285714283</v>
      </c>
      <c r="U12" s="21">
        <v>173633613.44537824</v>
      </c>
      <c r="Z12" s="17">
        <v>5</v>
      </c>
      <c r="AA12" s="2">
        <v>2</v>
      </c>
      <c r="AB12" s="2">
        <v>87000</v>
      </c>
      <c r="AC12" s="2">
        <v>43500</v>
      </c>
      <c r="AD12" s="18">
        <v>12500000</v>
      </c>
    </row>
    <row r="13" spans="1:30" x14ac:dyDescent="0.25">
      <c r="A13" s="2" t="s">
        <v>19</v>
      </c>
      <c r="B13" s="2" t="str" cm="1">
        <f t="array" ref="B13">_xlfn.IFS(E13&gt;=70000,"ABOVE 70000",E13&gt;50000,"50000 TO 69999",E13&gt;=30000,"30000 T0 49999",E13&lt;30000,"BELOW30000")</f>
        <v>50000 TO 69999</v>
      </c>
      <c r="C13" s="2" t="s">
        <v>12</v>
      </c>
      <c r="D13" s="2">
        <v>81</v>
      </c>
      <c r="E13" s="5">
        <v>51000</v>
      </c>
      <c r="F13" s="6">
        <v>49000</v>
      </c>
      <c r="G13" s="4">
        <f t="shared" si="0"/>
        <v>2000</v>
      </c>
      <c r="H13" s="8">
        <v>12</v>
      </c>
      <c r="I13" s="9">
        <v>68000</v>
      </c>
      <c r="J13" s="9">
        <v>70000</v>
      </c>
      <c r="K13" s="18" t="str" cm="1">
        <f t="array" ref="K13">_xlfn.IFS(D13&gt;80,"above 80",D13&gt;60,"61-80",D13&gt;40,"41-60",D13&gt;20,"21-40",D13&lt;=20,"below 20")</f>
        <v>above 80</v>
      </c>
      <c r="L13" s="2" t="str" cm="1">
        <f t="array" ref="L13">_xlfn.IFS(G13&gt;5000,"GREATER THAN 5000",G13&gt;=3000,"3000 TO 4999",G13&lt;3000,"LESS THAN 3000")</f>
        <v>LESS THAN 3000</v>
      </c>
      <c r="M13" s="2"/>
      <c r="N13" s="2" t="str" cm="1">
        <f t="array" ref="N13">_xlfn.IFS(F13&gt;60000,"&gt;60000",F13&gt;=40000,"40000 TO 59999",F13&gt;=25000,"25000 TO 39999",F13&lt;25000,"BELOW 25000")</f>
        <v>40000 TO 59999</v>
      </c>
      <c r="O13" s="2"/>
      <c r="Z13" s="17">
        <v>6</v>
      </c>
      <c r="AA13" s="2">
        <v>2</v>
      </c>
      <c r="AB13" s="2">
        <v>117000</v>
      </c>
      <c r="AC13" s="2">
        <v>58500</v>
      </c>
      <c r="AD13" s="18">
        <v>24500000</v>
      </c>
    </row>
    <row r="14" spans="1:30" x14ac:dyDescent="0.25">
      <c r="A14" s="2" t="s">
        <v>20</v>
      </c>
      <c r="B14" s="2" t="str" cm="1">
        <f t="array" ref="B14">_xlfn.IFS(E14&gt;=70000,"ABOVE 70000",E14&gt;50000,"50000 TO 69999",E14&gt;=30000,"30000 T0 49999",E14&lt;30000,"BELOW30000")</f>
        <v>50000 TO 69999</v>
      </c>
      <c r="C14" s="2" t="s">
        <v>12</v>
      </c>
      <c r="D14" s="2">
        <v>36</v>
      </c>
      <c r="E14" s="5">
        <v>51000</v>
      </c>
      <c r="F14" s="6">
        <v>50000</v>
      </c>
      <c r="G14" s="4">
        <f t="shared" si="0"/>
        <v>1000</v>
      </c>
      <c r="H14" s="8">
        <v>13</v>
      </c>
      <c r="I14" s="9">
        <v>66000</v>
      </c>
      <c r="J14" s="9">
        <v>73000</v>
      </c>
      <c r="K14" s="18" t="str" cm="1">
        <f t="array" ref="K14">_xlfn.IFS(D14&gt;80,"above 80",D14&gt;60,"61-80",D14&gt;40,"41-60",D14&gt;20,"21-40",D14&lt;=20,"below 20")</f>
        <v>21-40</v>
      </c>
      <c r="L14" s="2" t="str" cm="1">
        <f t="array" ref="L14">_xlfn.IFS(G14&gt;5000,"GREATER THAN 5000",G14&gt;=3000,"3000 TO 4999",G14&lt;3000,"LESS THAN 3000")</f>
        <v>LESS THAN 3000</v>
      </c>
      <c r="M14" s="2"/>
      <c r="N14" s="2" t="str" cm="1">
        <f t="array" ref="N14">_xlfn.IFS(F14&gt;60000,"&gt;60000",F14&gt;=40000,"40000 TO 59999",F14&gt;=25000,"25000 TO 39999",F14&lt;25000,"BELOW 25000")</f>
        <v>40000 TO 59999</v>
      </c>
      <c r="O14" s="2"/>
      <c r="Z14" s="17">
        <v>7</v>
      </c>
      <c r="AA14" s="2">
        <v>2</v>
      </c>
      <c r="AB14" s="2">
        <v>118000</v>
      </c>
      <c r="AC14" s="2">
        <v>59000</v>
      </c>
      <c r="AD14" s="18">
        <v>2000000</v>
      </c>
    </row>
    <row r="15" spans="1:30" x14ac:dyDescent="0.25">
      <c r="A15" s="2" t="s">
        <v>21</v>
      </c>
      <c r="B15" s="2" t="str" cm="1">
        <f t="array" ref="B15">_xlfn.IFS(E15&gt;=70000,"ABOVE 70000",E15&gt;50000,"50000 TO 69999",E15&gt;=30000,"30000 T0 49999",E15&lt;30000,"BELOW30000")</f>
        <v>50000 TO 69999</v>
      </c>
      <c r="C15" s="2" t="s">
        <v>12</v>
      </c>
      <c r="D15" s="2">
        <v>45</v>
      </c>
      <c r="E15" s="3">
        <v>50500</v>
      </c>
      <c r="F15" s="4">
        <v>40000</v>
      </c>
      <c r="G15" s="4">
        <f t="shared" si="0"/>
        <v>10500</v>
      </c>
      <c r="H15" s="8">
        <v>14</v>
      </c>
      <c r="I15" s="9">
        <v>64000</v>
      </c>
      <c r="J15" s="9">
        <v>71000</v>
      </c>
      <c r="K15" s="18" t="str" cm="1">
        <f t="array" ref="K15">_xlfn.IFS(D15&gt;80,"above 80",D15&gt;60,"61-80",D15&gt;40,"41-60",D15&gt;20,"21-40",D15&lt;=20,"below 20")</f>
        <v>41-60</v>
      </c>
      <c r="L15" s="2" t="str" cm="1">
        <f t="array" ref="L15">_xlfn.IFS(G15&gt;5000,"GREATER THAN 5000",G15&gt;=3000,"3000 TO 4999",G15&lt;3000,"LESS THAN 3000")</f>
        <v>GREATER THAN 5000</v>
      </c>
      <c r="M15" s="2"/>
      <c r="N15" s="2" t="str" cm="1">
        <f t="array" ref="N15">_xlfn.IFS(F15&gt;60000,"&gt;60000",F15&gt;=40000,"40000 TO 59999",F15&gt;=25000,"25000 TO 39999",F15&lt;25000,"BELOW 25000")</f>
        <v>40000 TO 59999</v>
      </c>
      <c r="O15" s="2"/>
      <c r="Q15" t="s">
        <v>50</v>
      </c>
      <c r="Z15" s="17">
        <v>8</v>
      </c>
      <c r="AA15" s="2">
        <v>2</v>
      </c>
      <c r="AB15" s="2">
        <v>119000</v>
      </c>
      <c r="AC15" s="2">
        <v>59500</v>
      </c>
      <c r="AD15" s="18">
        <v>24500000</v>
      </c>
    </row>
    <row r="16" spans="1:30" x14ac:dyDescent="0.25">
      <c r="A16" s="2" t="s">
        <v>22</v>
      </c>
      <c r="B16" s="2" t="str" cm="1">
        <f t="array" ref="B16">_xlfn.IFS(E16&gt;=70000,"ABOVE 70000",E16&gt;50000,"50000 TO 69999",E16&gt;=30000,"30000 T0 49999",E16&lt;30000,"BELOW30000")</f>
        <v>30000 T0 49999</v>
      </c>
      <c r="C16" s="2" t="s">
        <v>7</v>
      </c>
      <c r="D16" s="2">
        <v>40</v>
      </c>
      <c r="E16" s="5">
        <v>45200</v>
      </c>
      <c r="F16" s="6">
        <v>40000</v>
      </c>
      <c r="G16" s="4">
        <f t="shared" si="0"/>
        <v>5200</v>
      </c>
      <c r="H16" s="8">
        <v>15</v>
      </c>
      <c r="I16" s="9">
        <v>67000</v>
      </c>
      <c r="J16" s="9">
        <v>74000</v>
      </c>
      <c r="K16" s="18" t="str" cm="1">
        <f t="array" ref="K16">_xlfn.IFS(D16&gt;80,"above 80",D16&gt;60,"61-80",D16&gt;40,"41-60",D16&gt;20,"21-40",D16&lt;=20,"below 20")</f>
        <v>21-40</v>
      </c>
      <c r="L16" s="2" t="str" cm="1">
        <f t="array" ref="L16">_xlfn.IFS(G16&gt;5000,"GREATER THAN 5000",G16&gt;=3000,"3000 TO 4999",G16&lt;3000,"LESS THAN 3000")</f>
        <v>GREATER THAN 5000</v>
      </c>
      <c r="M16" s="2"/>
      <c r="N16" s="2" t="str" cm="1">
        <f t="array" ref="N16">_xlfn.IFS(F16&gt;60000,"&gt;60000",F16&gt;=40000,"40000 TO 59999",F16&gt;=25000,"25000 TO 39999",F16&lt;25000,"BELOW 25000")</f>
        <v>40000 TO 59999</v>
      </c>
      <c r="O16" s="2"/>
      <c r="Q16" s="14" t="s">
        <v>51</v>
      </c>
      <c r="R16" s="15" t="s">
        <v>52</v>
      </c>
      <c r="S16" s="15" t="s">
        <v>53</v>
      </c>
      <c r="T16" s="15" t="s">
        <v>54</v>
      </c>
      <c r="U16" s="15" t="s">
        <v>55</v>
      </c>
      <c r="V16" s="15" t="s">
        <v>56</v>
      </c>
      <c r="W16" s="16" t="s">
        <v>57</v>
      </c>
      <c r="Z16" s="17">
        <v>9</v>
      </c>
      <c r="AA16" s="2">
        <v>2</v>
      </c>
      <c r="AB16" s="2">
        <v>115000</v>
      </c>
      <c r="AC16" s="2">
        <v>57500</v>
      </c>
      <c r="AD16" s="18">
        <v>24500000</v>
      </c>
    </row>
    <row r="17" spans="1:30" x14ac:dyDescent="0.25">
      <c r="A17" s="2" t="s">
        <v>23</v>
      </c>
      <c r="B17" s="2" t="str" cm="1">
        <f t="array" ref="B17">_xlfn.IFS(E17&gt;=70000,"ABOVE 70000",E17&gt;50000,"50000 TO 69999",E17&gt;=30000,"30000 T0 49999",E17&lt;30000,"BELOW30000")</f>
        <v>30000 T0 49999</v>
      </c>
      <c r="C17" s="2" t="s">
        <v>7</v>
      </c>
      <c r="D17" s="2">
        <v>50</v>
      </c>
      <c r="E17" s="3">
        <v>45000</v>
      </c>
      <c r="F17" s="4">
        <v>40000</v>
      </c>
      <c r="G17" s="4">
        <f t="shared" si="0"/>
        <v>5000</v>
      </c>
      <c r="H17" s="8">
        <v>16</v>
      </c>
      <c r="I17" s="9">
        <v>60000</v>
      </c>
      <c r="J17" s="9">
        <v>68000</v>
      </c>
      <c r="K17" s="18" t="str" cm="1">
        <f t="array" ref="K17">_xlfn.IFS(D17&gt;80,"above 80",D17&gt;60,"61-80",D17&gt;40,"41-60",D17&gt;20,"21-40",D17&lt;=20,"below 20")</f>
        <v>41-60</v>
      </c>
      <c r="L17" s="2" t="str" cm="1">
        <f t="array" ref="L17">_xlfn.IFS(G17&gt;5000,"GREATER THAN 5000",G17&gt;=3000,"3000 TO 4999",G17&lt;3000,"LESS THAN 3000")</f>
        <v>3000 TO 4999</v>
      </c>
      <c r="M17" s="2"/>
      <c r="N17" s="2" t="str" cm="1">
        <f t="array" ref="N17">_xlfn.IFS(F17&gt;60000,"&gt;60000",F17&gt;=40000,"40000 TO 59999",F17&gt;=25000,"25000 TO 39999",F17&lt;25000,"BELOW 25000")</f>
        <v>40000 TO 59999</v>
      </c>
      <c r="O17" s="2"/>
      <c r="Q17" s="17" t="s">
        <v>58</v>
      </c>
      <c r="R17" s="2">
        <v>580608000.00000572</v>
      </c>
      <c r="S17" s="2">
        <v>1</v>
      </c>
      <c r="T17" s="2">
        <v>580608000.00000572</v>
      </c>
      <c r="U17" s="2">
        <v>3.0355577852948543</v>
      </c>
      <c r="V17" s="2">
        <v>8.5979735940840213E-2</v>
      </c>
      <c r="W17" s="18">
        <v>3.9818962563017628</v>
      </c>
      <c r="Z17" s="17">
        <v>10</v>
      </c>
      <c r="AA17" s="2">
        <v>2</v>
      </c>
      <c r="AB17" s="2">
        <v>121000</v>
      </c>
      <c r="AC17" s="2">
        <v>60500</v>
      </c>
      <c r="AD17" s="18">
        <v>24500000</v>
      </c>
    </row>
    <row r="18" spans="1:30" x14ac:dyDescent="0.25">
      <c r="A18" s="2" t="s">
        <v>24</v>
      </c>
      <c r="B18" s="2" t="str" cm="1">
        <f t="array" ref="B18">_xlfn.IFS(E18&gt;=70000,"ABOVE 70000",E18&gt;50000,"50000 TO 69999",E18&gt;=30000,"30000 T0 49999",E18&lt;30000,"BELOW30000")</f>
        <v>30000 T0 49999</v>
      </c>
      <c r="C18" s="2" t="s">
        <v>12</v>
      </c>
      <c r="D18" s="2">
        <v>63</v>
      </c>
      <c r="E18" s="3">
        <v>42000</v>
      </c>
      <c r="F18" s="4">
        <v>38000</v>
      </c>
      <c r="G18" s="4">
        <f t="shared" si="0"/>
        <v>4000</v>
      </c>
      <c r="H18" s="8">
        <v>17</v>
      </c>
      <c r="I18" s="9">
        <v>62000</v>
      </c>
      <c r="J18" s="9">
        <v>70000</v>
      </c>
      <c r="K18" s="18" t="str" cm="1">
        <f t="array" ref="K18">_xlfn.IFS(D18&gt;80,"above 80",D18&gt;60,"61-80",D18&gt;40,"41-60",D18&gt;20,"21-40",D18&lt;=20,"below 20")</f>
        <v>61-80</v>
      </c>
      <c r="L18" s="2" t="str" cm="1">
        <f t="array" ref="L18">_xlfn.IFS(G18&gt;5000,"GREATER THAN 5000",G18&gt;=3000,"3000 TO 4999",G18&lt;3000,"LESS THAN 3000")</f>
        <v>3000 TO 4999</v>
      </c>
      <c r="M18" s="2"/>
      <c r="N18" s="2" t="str" cm="1">
        <f t="array" ref="N18">_xlfn.IFS(F18&gt;60000,"&gt;60000",F18&gt;=40000,"40000 TO 59999",F18&gt;=25000,"25000 TO 39999",F18&lt;25000,"BELOW 25000")</f>
        <v>25000 TO 39999</v>
      </c>
      <c r="O18" s="2"/>
      <c r="Q18" s="17" t="s">
        <v>59</v>
      </c>
      <c r="R18" s="2">
        <v>13006289714.285715</v>
      </c>
      <c r="S18" s="2">
        <v>68</v>
      </c>
      <c r="T18" s="2">
        <v>191268966.38655463</v>
      </c>
      <c r="U18" s="2"/>
      <c r="V18" s="2"/>
      <c r="W18" s="18"/>
      <c r="Z18" s="17">
        <v>11</v>
      </c>
      <c r="AA18" s="2">
        <v>2</v>
      </c>
      <c r="AB18" s="2">
        <v>137000</v>
      </c>
      <c r="AC18" s="2">
        <v>68500</v>
      </c>
      <c r="AD18" s="18">
        <v>24500000</v>
      </c>
    </row>
    <row r="19" spans="1:30" x14ac:dyDescent="0.25">
      <c r="A19" s="2" t="s">
        <v>25</v>
      </c>
      <c r="B19" s="2" t="str" cm="1">
        <f t="array" ref="B19">_xlfn.IFS(E19&gt;=70000,"ABOVE 70000",E19&gt;50000,"50000 TO 69999",E19&gt;=30000,"30000 T0 49999",E19&lt;30000,"BELOW30000")</f>
        <v>30000 T0 49999</v>
      </c>
      <c r="C19" s="2" t="s">
        <v>12</v>
      </c>
      <c r="D19" s="2">
        <v>28</v>
      </c>
      <c r="E19" s="5">
        <v>42000</v>
      </c>
      <c r="F19" s="6">
        <v>38000</v>
      </c>
      <c r="G19" s="4">
        <f t="shared" si="0"/>
        <v>4000</v>
      </c>
      <c r="H19" s="8">
        <v>18</v>
      </c>
      <c r="I19" s="9">
        <v>61000</v>
      </c>
      <c r="J19" s="9">
        <v>69000</v>
      </c>
      <c r="K19" s="18" t="str" cm="1">
        <f t="array" ref="K19">_xlfn.IFS(D19&gt;80,"above 80",D19&gt;60,"61-80",D19&gt;40,"41-60",D19&gt;20,"21-40",D19&lt;=20,"below 20")</f>
        <v>21-40</v>
      </c>
      <c r="L19" s="2" t="str" cm="1">
        <f t="array" ref="L19">_xlfn.IFS(G19&gt;5000,"GREATER THAN 5000",G19&gt;=3000,"3000 TO 4999",G19&lt;3000,"LESS THAN 3000")</f>
        <v>3000 TO 4999</v>
      </c>
      <c r="M19" s="2"/>
      <c r="N19" s="2" t="str" cm="1">
        <f t="array" ref="N19">_xlfn.IFS(F19&gt;60000,"&gt;60000",F19&gt;=40000,"40000 TO 59999",F19&gt;=25000,"25000 TO 39999",F19&lt;25000,"BELOW 25000")</f>
        <v>25000 TO 39999</v>
      </c>
      <c r="O19" s="2"/>
      <c r="Q19" s="17"/>
      <c r="R19" s="2"/>
      <c r="S19" s="2"/>
      <c r="T19" s="2"/>
      <c r="U19" s="2"/>
      <c r="V19" s="2"/>
      <c r="W19" s="18"/>
      <c r="Z19" s="17">
        <v>12</v>
      </c>
      <c r="AA19" s="2">
        <v>2</v>
      </c>
      <c r="AB19" s="2">
        <v>138000</v>
      </c>
      <c r="AC19" s="2">
        <v>69000</v>
      </c>
      <c r="AD19" s="18">
        <v>2000000</v>
      </c>
    </row>
    <row r="20" spans="1:30" x14ac:dyDescent="0.25">
      <c r="A20" s="2" t="s">
        <v>26</v>
      </c>
      <c r="B20" s="2" t="str" cm="1">
        <f t="array" ref="B20">_xlfn.IFS(E20&gt;=70000,"ABOVE 70000",E20&gt;50000,"50000 TO 69999",E20&gt;=30000,"30000 T0 49999",E20&lt;30000,"BELOW30000")</f>
        <v>30000 T0 49999</v>
      </c>
      <c r="C20" s="2" t="s">
        <v>12</v>
      </c>
      <c r="D20" s="2">
        <v>29</v>
      </c>
      <c r="E20" s="3">
        <v>41000</v>
      </c>
      <c r="F20" s="4">
        <v>35000</v>
      </c>
      <c r="G20" s="4">
        <f t="shared" si="0"/>
        <v>6000</v>
      </c>
      <c r="H20" s="8">
        <v>19</v>
      </c>
      <c r="I20" s="9">
        <v>63000</v>
      </c>
      <c r="J20" s="9">
        <v>71000</v>
      </c>
      <c r="K20" s="18" t="str" cm="1">
        <f t="array" ref="K20">_xlfn.IFS(D20&gt;80,"above 80",D20&gt;60,"61-80",D20&gt;40,"41-60",D20&gt;20,"21-40",D20&lt;=20,"below 20")</f>
        <v>21-40</v>
      </c>
      <c r="L20" s="2" t="str" cm="1">
        <f t="array" ref="L20">_xlfn.IFS(G20&gt;5000,"GREATER THAN 5000",G20&gt;=3000,"3000 TO 4999",G20&lt;3000,"LESS THAN 3000")</f>
        <v>GREATER THAN 5000</v>
      </c>
      <c r="M20" s="2"/>
      <c r="N20" s="2" t="str" cm="1">
        <f t="array" ref="N20">_xlfn.IFS(F20&gt;60000,"&gt;60000",F20&gt;=40000,"40000 TO 59999",F20&gt;=25000,"25000 TO 39999",F20&lt;25000,"BELOW 25000")</f>
        <v>25000 TO 39999</v>
      </c>
      <c r="O20" s="2"/>
      <c r="Q20" s="19" t="s">
        <v>60</v>
      </c>
      <c r="R20" s="20">
        <v>13586897714.285721</v>
      </c>
      <c r="S20" s="20">
        <v>69</v>
      </c>
      <c r="T20" s="20"/>
      <c r="U20" s="20"/>
      <c r="V20" s="20"/>
      <c r="W20" s="21"/>
      <c r="Z20" s="17">
        <v>13</v>
      </c>
      <c r="AA20" s="2">
        <v>2</v>
      </c>
      <c r="AB20" s="2">
        <v>139000</v>
      </c>
      <c r="AC20" s="2">
        <v>69500</v>
      </c>
      <c r="AD20" s="18">
        <v>24500000</v>
      </c>
    </row>
    <row r="21" spans="1:30" x14ac:dyDescent="0.25">
      <c r="A21" s="2" t="s">
        <v>27</v>
      </c>
      <c r="B21" s="2" t="str" cm="1">
        <f t="array" ref="B21">_xlfn.IFS(E21&gt;=70000,"ABOVE 70000",E21&gt;50000,"50000 TO 69999",E21&gt;=30000,"30000 T0 49999",E21&lt;30000,"BELOW30000")</f>
        <v>30000 T0 49999</v>
      </c>
      <c r="C21" s="2" t="s">
        <v>7</v>
      </c>
      <c r="D21" s="2">
        <v>26</v>
      </c>
      <c r="E21" s="5">
        <v>40000</v>
      </c>
      <c r="F21" s="6">
        <v>35000</v>
      </c>
      <c r="G21" s="4">
        <f t="shared" si="0"/>
        <v>5000</v>
      </c>
      <c r="H21" s="8">
        <v>20</v>
      </c>
      <c r="I21" s="9">
        <v>64000</v>
      </c>
      <c r="J21" s="9">
        <v>72000</v>
      </c>
      <c r="K21" s="18" t="str" cm="1">
        <f t="array" ref="K21">_xlfn.IFS(D21&gt;80,"above 80",D21&gt;60,"61-80",D21&gt;40,"41-60",D21&gt;20,"21-40",D21&lt;=20,"below 20")</f>
        <v>21-40</v>
      </c>
      <c r="L21" s="2" t="str" cm="1">
        <f t="array" ref="L21">_xlfn.IFS(G21&gt;5000,"GREATER THAN 5000",G21&gt;=3000,"3000 TO 4999",G21&lt;3000,"LESS THAN 3000")</f>
        <v>3000 TO 4999</v>
      </c>
      <c r="M21" s="2"/>
      <c r="N21" s="2" t="str" cm="1">
        <f t="array" ref="N21">_xlfn.IFS(F21&gt;60000,"&gt;60000",F21&gt;=40000,"40000 TO 59999",F21&gt;=25000,"25000 TO 39999",F21&lt;25000,"BELOW 25000")</f>
        <v>25000 TO 39999</v>
      </c>
      <c r="O21" s="2"/>
      <c r="Z21" s="17">
        <v>14</v>
      </c>
      <c r="AA21" s="2">
        <v>2</v>
      </c>
      <c r="AB21" s="2">
        <v>135000</v>
      </c>
      <c r="AC21" s="2">
        <v>67500</v>
      </c>
      <c r="AD21" s="18">
        <v>24500000</v>
      </c>
    </row>
    <row r="22" spans="1:30" x14ac:dyDescent="0.25">
      <c r="A22" s="2" t="s">
        <v>28</v>
      </c>
      <c r="B22" s="2" t="str" cm="1">
        <f t="array" ref="B22">_xlfn.IFS(E22&gt;=70000,"ABOVE 70000",E22&gt;50000,"50000 TO 69999",E22&gt;=30000,"30000 T0 49999",E22&lt;30000,"BELOW30000")</f>
        <v>30000 T0 49999</v>
      </c>
      <c r="C22" s="2" t="s">
        <v>12</v>
      </c>
      <c r="D22" s="2">
        <v>35</v>
      </c>
      <c r="E22" s="3">
        <v>36000</v>
      </c>
      <c r="F22" s="4">
        <v>32000</v>
      </c>
      <c r="G22" s="4">
        <f t="shared" si="0"/>
        <v>4000</v>
      </c>
      <c r="H22" s="8">
        <v>21</v>
      </c>
      <c r="I22" s="9">
        <v>50000</v>
      </c>
      <c r="J22" s="9">
        <v>56000</v>
      </c>
      <c r="K22" s="18" t="str" cm="1">
        <f t="array" ref="K22">_xlfn.IFS(D22&gt;80,"above 80",D22&gt;60,"61-80",D22&gt;40,"41-60",D22&gt;20,"21-40",D22&lt;=20,"below 20")</f>
        <v>21-40</v>
      </c>
      <c r="L22" s="2" t="str" cm="1">
        <f t="array" ref="L22">_xlfn.IFS(G22&gt;5000,"GREATER THAN 5000",G22&gt;=3000,"3000 TO 4999",G22&lt;3000,"LESS THAN 3000")</f>
        <v>3000 TO 4999</v>
      </c>
      <c r="M22" s="2"/>
      <c r="N22" s="2" t="str" cm="1">
        <f t="array" ref="N22">_xlfn.IFS(F22&gt;60000,"&gt;60000",F22&gt;=40000,"40000 TO 59999",F22&gt;=25000,"25000 TO 39999",F22&lt;25000,"BELOW 25000")</f>
        <v>25000 TO 39999</v>
      </c>
      <c r="O22" s="2"/>
      <c r="Z22" s="17">
        <v>15</v>
      </c>
      <c r="AA22" s="2">
        <v>2</v>
      </c>
      <c r="AB22" s="2">
        <v>141000</v>
      </c>
      <c r="AC22" s="2">
        <v>70500</v>
      </c>
      <c r="AD22" s="18">
        <v>24500000</v>
      </c>
    </row>
    <row r="23" spans="1:30" x14ac:dyDescent="0.25">
      <c r="A23" s="2" t="s">
        <v>29</v>
      </c>
      <c r="B23" s="2" t="str" cm="1">
        <f t="array" ref="B23">_xlfn.IFS(E23&gt;=70000,"ABOVE 70000",E23&gt;50000,"50000 TO 69999",E23&gt;=30000,"30000 T0 49999",E23&lt;30000,"BELOW30000")</f>
        <v>30000 T0 49999</v>
      </c>
      <c r="C23" s="2" t="s">
        <v>12</v>
      </c>
      <c r="D23" s="2">
        <v>36</v>
      </c>
      <c r="E23" s="3">
        <v>35500</v>
      </c>
      <c r="F23" s="4">
        <v>30000</v>
      </c>
      <c r="G23" s="4">
        <f t="shared" si="0"/>
        <v>5500</v>
      </c>
      <c r="H23" s="8">
        <v>22</v>
      </c>
      <c r="I23" s="9">
        <v>52000</v>
      </c>
      <c r="J23" s="9">
        <v>58000</v>
      </c>
      <c r="K23" s="18" t="str" cm="1">
        <f t="array" ref="K23">_xlfn.IFS(D23&gt;80,"above 80",D23&gt;60,"61-80",D23&gt;40,"41-60",D23&gt;20,"21-40",D23&lt;=20,"below 20")</f>
        <v>21-40</v>
      </c>
      <c r="L23" s="2" t="str" cm="1">
        <f t="array" ref="L23">_xlfn.IFS(G23&gt;5000,"GREATER THAN 5000",G23&gt;=3000,"3000 TO 4999",G23&lt;3000,"LESS THAN 3000")</f>
        <v>GREATER THAN 5000</v>
      </c>
      <c r="M23" s="2"/>
      <c r="N23" s="2" t="str" cm="1">
        <f t="array" ref="N23">_xlfn.IFS(F23&gt;60000,"&gt;60000",F23&gt;=40000,"40000 TO 59999",F23&gt;=25000,"25000 TO 39999",F23&lt;25000,"BELOW 25000")</f>
        <v>25000 TO 39999</v>
      </c>
      <c r="O23" s="2"/>
      <c r="Z23" s="17">
        <v>16</v>
      </c>
      <c r="AA23" s="2">
        <v>2</v>
      </c>
      <c r="AB23" s="2">
        <v>128000</v>
      </c>
      <c r="AC23" s="2">
        <v>64000</v>
      </c>
      <c r="AD23" s="18">
        <v>32000000</v>
      </c>
    </row>
    <row r="24" spans="1:30" x14ac:dyDescent="0.25">
      <c r="A24" s="2" t="s">
        <v>30</v>
      </c>
      <c r="B24" s="2" t="str" cm="1">
        <f t="array" ref="B24">_xlfn.IFS(E24&gt;=70000,"ABOVE 70000",E24&gt;50000,"50000 TO 69999",E24&gt;=30000,"30000 T0 49999",E24&lt;30000,"BELOW30000")</f>
        <v>30000 T0 49999</v>
      </c>
      <c r="C24" s="2" t="s">
        <v>12</v>
      </c>
      <c r="D24" s="2">
        <v>35</v>
      </c>
      <c r="E24" s="7">
        <v>35000</v>
      </c>
      <c r="F24" s="4">
        <v>25000</v>
      </c>
      <c r="G24" s="4">
        <f t="shared" si="0"/>
        <v>10000</v>
      </c>
      <c r="H24" s="8">
        <v>23</v>
      </c>
      <c r="I24" s="9">
        <v>51000</v>
      </c>
      <c r="J24" s="9">
        <v>57000</v>
      </c>
      <c r="K24" s="18" t="str" cm="1">
        <f t="array" ref="K24">_xlfn.IFS(D24&gt;80,"above 80",D24&gt;60,"61-80",D24&gt;40,"41-60",D24&gt;20,"21-40",D24&lt;=20,"below 20")</f>
        <v>21-40</v>
      </c>
      <c r="L24" s="2" t="str" cm="1">
        <f t="array" ref="L24">_xlfn.IFS(G24&gt;5000,"GREATER THAN 5000",G24&gt;=3000,"3000 TO 4999",G24&lt;3000,"LESS THAN 3000")</f>
        <v>GREATER THAN 5000</v>
      </c>
      <c r="M24" s="2"/>
      <c r="N24" s="2" t="str" cm="1">
        <f t="array" ref="N24">_xlfn.IFS(F24&gt;60000,"&gt;60000",F24&gt;=40000,"40000 TO 59999",F24&gt;=25000,"25000 TO 39999",F24&lt;25000,"BELOW 25000")</f>
        <v>25000 TO 39999</v>
      </c>
      <c r="O24" s="2"/>
      <c r="Z24" s="17">
        <v>17</v>
      </c>
      <c r="AA24" s="2">
        <v>2</v>
      </c>
      <c r="AB24" s="2">
        <v>132000</v>
      </c>
      <c r="AC24" s="2">
        <v>66000</v>
      </c>
      <c r="AD24" s="18">
        <v>32000000</v>
      </c>
    </row>
    <row r="25" spans="1:30" x14ac:dyDescent="0.25">
      <c r="A25" s="2" t="s">
        <v>31</v>
      </c>
      <c r="B25" s="2" t="str" cm="1">
        <f t="array" ref="B25">_xlfn.IFS(E25&gt;=70000,"ABOVE 70000",E25&gt;50000,"50000 TO 69999",E25&gt;=30000,"30000 T0 49999",E25&lt;30000,"BELOW30000")</f>
        <v>30000 T0 49999</v>
      </c>
      <c r="C25" s="2" t="s">
        <v>12</v>
      </c>
      <c r="D25" s="2">
        <v>42</v>
      </c>
      <c r="E25" s="3">
        <v>35000</v>
      </c>
      <c r="F25" s="4">
        <v>22000</v>
      </c>
      <c r="G25" s="4">
        <f t="shared" si="0"/>
        <v>13000</v>
      </c>
      <c r="H25" s="8">
        <v>24</v>
      </c>
      <c r="I25" s="9">
        <v>53000</v>
      </c>
      <c r="J25" s="9">
        <v>59000</v>
      </c>
      <c r="K25" s="18" t="str" cm="1">
        <f t="array" ref="K25">_xlfn.IFS(D25&gt;80,"above 80",D25&gt;60,"61-80",D25&gt;40,"41-60",D25&gt;20,"21-40",D25&lt;=20,"below 20")</f>
        <v>41-60</v>
      </c>
      <c r="L25" s="2" t="str" cm="1">
        <f t="array" ref="L25">_xlfn.IFS(G25&gt;5000,"GREATER THAN 5000",G25&gt;=3000,"3000 TO 4999",G25&lt;3000,"LESS THAN 3000")</f>
        <v>GREATER THAN 5000</v>
      </c>
      <c r="M25" s="2"/>
      <c r="N25" s="2" t="str" cm="1">
        <f t="array" ref="N25">_xlfn.IFS(F25&gt;60000,"&gt;60000",F25&gt;=40000,"40000 TO 59999",F25&gt;=25000,"25000 TO 39999",F25&lt;25000,"BELOW 25000")</f>
        <v>BELOW 25000</v>
      </c>
      <c r="O25" s="2"/>
      <c r="Z25" s="17">
        <v>18</v>
      </c>
      <c r="AA25" s="2">
        <v>2</v>
      </c>
      <c r="AB25" s="2">
        <v>130000</v>
      </c>
      <c r="AC25" s="2">
        <v>65000</v>
      </c>
      <c r="AD25" s="18">
        <v>32000000</v>
      </c>
    </row>
    <row r="26" spans="1:30" ht="18.75" x14ac:dyDescent="0.3">
      <c r="A26" s="2" t="s">
        <v>32</v>
      </c>
      <c r="B26" s="2" t="str" cm="1">
        <f t="array" ref="B26">_xlfn.IFS(E26&gt;=70000,"ABOVE 70000",E26&gt;50000,"50000 TO 69999",E26&gt;=30000,"30000 T0 49999",E26&lt;30000,"BELOW30000")</f>
        <v>30000 T0 49999</v>
      </c>
      <c r="C26" s="2" t="s">
        <v>12</v>
      </c>
      <c r="D26" s="2">
        <v>31</v>
      </c>
      <c r="E26" s="5">
        <v>35000</v>
      </c>
      <c r="F26" s="6">
        <v>31000</v>
      </c>
      <c r="G26" s="4">
        <f t="shared" si="0"/>
        <v>4000</v>
      </c>
      <c r="H26" s="8">
        <v>25</v>
      </c>
      <c r="I26" s="9">
        <v>54000</v>
      </c>
      <c r="J26" s="9">
        <v>60000</v>
      </c>
      <c r="K26" s="18" t="str" cm="1">
        <f t="array" ref="K26">_xlfn.IFS(D26&gt;80,"above 80",D26&gt;60,"61-80",D26&gt;40,"41-60",D26&gt;20,"21-40",D26&lt;=20,"below 20")</f>
        <v>21-40</v>
      </c>
      <c r="L26" s="2" t="str" cm="1">
        <f t="array" ref="L26">_xlfn.IFS(G26&gt;5000,"GREATER THAN 5000",G26&gt;=3000,"3000 TO 4999",G26&lt;3000,"LESS THAN 3000")</f>
        <v>3000 TO 4999</v>
      </c>
      <c r="M26" s="2"/>
      <c r="N26" s="2" t="str" cm="1">
        <f t="array" ref="N26">_xlfn.IFS(F26&gt;60000,"&gt;60000",F26&gt;=40000,"40000 TO 59999",F26&gt;=25000,"25000 TO 39999",F26&lt;25000,"BELOW 25000")</f>
        <v>25000 TO 39999</v>
      </c>
      <c r="O26" s="2"/>
      <c r="T26" s="31" t="s">
        <v>61</v>
      </c>
      <c r="U26" s="31"/>
      <c r="V26" s="31"/>
      <c r="Z26" s="17">
        <v>19</v>
      </c>
      <c r="AA26" s="2">
        <v>2</v>
      </c>
      <c r="AB26" s="2">
        <v>134000</v>
      </c>
      <c r="AC26" s="2">
        <v>67000</v>
      </c>
      <c r="AD26" s="18">
        <v>32000000</v>
      </c>
    </row>
    <row r="27" spans="1:30" x14ac:dyDescent="0.25">
      <c r="A27" s="2" t="s">
        <v>33</v>
      </c>
      <c r="B27" s="2" t="str" cm="1">
        <f t="array" ref="B27">_xlfn.IFS(E27&gt;=70000,"ABOVE 70000",E27&gt;50000,"50000 TO 69999",E27&gt;=30000,"30000 T0 49999",E27&lt;30000,"BELOW30000")</f>
        <v>30000 T0 49999</v>
      </c>
      <c r="C27" s="2" t="s">
        <v>7</v>
      </c>
      <c r="D27" s="2">
        <v>51</v>
      </c>
      <c r="E27" s="5">
        <v>35000</v>
      </c>
      <c r="F27" s="6">
        <v>34000</v>
      </c>
      <c r="G27" s="4">
        <f t="shared" si="0"/>
        <v>1000</v>
      </c>
      <c r="H27" s="8">
        <v>26</v>
      </c>
      <c r="I27" s="9">
        <v>70000</v>
      </c>
      <c r="J27" s="9">
        <v>76000</v>
      </c>
      <c r="K27" s="18" t="str" cm="1">
        <f t="array" ref="K27">_xlfn.IFS(D27&gt;80,"above 80",D27&gt;60,"61-80",D27&gt;40,"41-60",D27&gt;20,"21-40",D27&lt;=20,"below 20")</f>
        <v>41-60</v>
      </c>
      <c r="L27" s="2" t="str" cm="1">
        <f t="array" ref="L27">_xlfn.IFS(G27&gt;5000,"GREATER THAN 5000",G27&gt;=3000,"3000 TO 4999",G27&lt;3000,"LESS THAN 3000")</f>
        <v>LESS THAN 3000</v>
      </c>
      <c r="M27" s="2"/>
      <c r="N27" s="2" t="str" cm="1">
        <f t="array" ref="N27">_xlfn.IFS(F27&gt;60000,"&gt;60000",F27&gt;=40000,"40000 TO 59999",F27&gt;=25000,"25000 TO 39999",F27&lt;25000,"BELOW 25000")</f>
        <v>25000 TO 39999</v>
      </c>
      <c r="O27" s="2"/>
      <c r="Q27" s="23" t="s">
        <v>44</v>
      </c>
      <c r="R27" s="24" t="s">
        <v>12</v>
      </c>
      <c r="S27" s="24" t="s">
        <v>7</v>
      </c>
      <c r="T27" s="22" t="s">
        <v>60</v>
      </c>
      <c r="Z27" s="17">
        <v>20</v>
      </c>
      <c r="AA27" s="2">
        <v>2</v>
      </c>
      <c r="AB27" s="2">
        <v>136000</v>
      </c>
      <c r="AC27" s="2">
        <v>68000</v>
      </c>
      <c r="AD27" s="18">
        <v>32000000</v>
      </c>
    </row>
    <row r="28" spans="1:30" x14ac:dyDescent="0.25">
      <c r="A28" s="2" t="s">
        <v>34</v>
      </c>
      <c r="B28" s="2" t="str" cm="1">
        <f t="array" ref="B28">_xlfn.IFS(E28&gt;=70000,"ABOVE 70000",E28&gt;50000,"50000 TO 69999",E28&gt;=30000,"30000 T0 49999",E28&lt;30000,"BELOW30000")</f>
        <v>30000 T0 49999</v>
      </c>
      <c r="C28" s="2" t="s">
        <v>7</v>
      </c>
      <c r="D28" s="2">
        <v>52</v>
      </c>
      <c r="E28" s="3">
        <v>30000</v>
      </c>
      <c r="F28" s="4">
        <v>20000</v>
      </c>
      <c r="G28" s="4">
        <f t="shared" si="0"/>
        <v>10000</v>
      </c>
      <c r="H28" s="8">
        <v>27</v>
      </c>
      <c r="I28" s="9">
        <v>72000</v>
      </c>
      <c r="J28" s="9">
        <v>78000</v>
      </c>
      <c r="K28" s="18" t="str" cm="1">
        <f t="array" ref="K28">_xlfn.IFS(D28&gt;80,"above 80",D28&gt;60,"61-80",D28&gt;40,"41-60",D28&gt;20,"21-40",D28&lt;=20,"below 20")</f>
        <v>41-60</v>
      </c>
      <c r="L28" s="2" t="str" cm="1">
        <f t="array" ref="L28">_xlfn.IFS(G28&gt;5000,"GREATER THAN 5000",G28&gt;=3000,"3000 TO 4999",G28&lt;3000,"LESS THAN 3000")</f>
        <v>GREATER THAN 5000</v>
      </c>
      <c r="M28" s="2"/>
      <c r="N28" s="2" t="str" cm="1">
        <f t="array" ref="N28">_xlfn.IFS(F28&gt;60000,"&gt;60000",F28&gt;=40000,"40000 TO 59999",F28&gt;=25000,"25000 TO 39999",F28&lt;25000,"BELOW 25000")</f>
        <v>BELOW 25000</v>
      </c>
      <c r="O28" s="2"/>
      <c r="Q28" s="25">
        <v>1</v>
      </c>
      <c r="R28" s="26"/>
      <c r="S28" s="26"/>
      <c r="T28" s="27"/>
      <c r="Z28" s="17">
        <v>21</v>
      </c>
      <c r="AA28" s="2">
        <v>2</v>
      </c>
      <c r="AB28" s="2">
        <v>106000</v>
      </c>
      <c r="AC28" s="2">
        <v>53000</v>
      </c>
      <c r="AD28" s="18">
        <v>18000000</v>
      </c>
    </row>
    <row r="29" spans="1:30" x14ac:dyDescent="0.25">
      <c r="A29" s="2" t="s">
        <v>35</v>
      </c>
      <c r="B29" s="2" t="str" cm="1">
        <f t="array" ref="B29">_xlfn.IFS(E29&gt;=70000,"ABOVE 70000",E29&gt;50000,"50000 TO 69999",E29&gt;=30000,"30000 T0 49999",E29&lt;30000,"BELOW30000")</f>
        <v>30000 T0 49999</v>
      </c>
      <c r="C29" s="2" t="s">
        <v>12</v>
      </c>
      <c r="D29" s="2">
        <v>41</v>
      </c>
      <c r="E29" s="3">
        <v>30000</v>
      </c>
      <c r="F29" s="4">
        <v>28000</v>
      </c>
      <c r="G29" s="4">
        <f t="shared" si="0"/>
        <v>2000</v>
      </c>
      <c r="H29" s="8">
        <v>28</v>
      </c>
      <c r="I29" s="9">
        <v>71000</v>
      </c>
      <c r="J29" s="9">
        <v>77000</v>
      </c>
      <c r="K29" s="18" t="str" cm="1">
        <f t="array" ref="K29">_xlfn.IFS(D29&gt;80,"above 80",D29&gt;60,"61-80",D29&gt;40,"41-60",D29&gt;20,"21-40",D29&lt;=20,"below 20")</f>
        <v>41-60</v>
      </c>
      <c r="L29" s="2" t="str" cm="1">
        <f t="array" ref="L29">_xlfn.IFS(G29&gt;5000,"GREATER THAN 5000",G29&gt;=3000,"3000 TO 4999",G29&lt;3000,"LESS THAN 3000")</f>
        <v>LESS THAN 3000</v>
      </c>
      <c r="M29" s="2"/>
      <c r="N29" s="2" t="str" cm="1">
        <f t="array" ref="N29">_xlfn.IFS(F29&gt;60000,"&gt;60000",F29&gt;=40000,"40000 TO 59999",F29&gt;=25000,"25000 TO 39999",F29&lt;25000,"BELOW 25000")</f>
        <v>25000 TO 39999</v>
      </c>
      <c r="O29" s="2"/>
      <c r="Q29" s="17" t="s">
        <v>46</v>
      </c>
      <c r="R29" s="2">
        <v>35</v>
      </c>
      <c r="S29" s="2">
        <v>35</v>
      </c>
      <c r="T29" s="18">
        <v>70</v>
      </c>
      <c r="Z29" s="17">
        <v>22</v>
      </c>
      <c r="AA29" s="2">
        <v>2</v>
      </c>
      <c r="AB29" s="2">
        <v>110000</v>
      </c>
      <c r="AC29" s="2">
        <v>55000</v>
      </c>
      <c r="AD29" s="18">
        <v>18000000</v>
      </c>
    </row>
    <row r="30" spans="1:30" x14ac:dyDescent="0.25">
      <c r="A30" s="2" t="s">
        <v>36</v>
      </c>
      <c r="B30" s="2" t="str" cm="1">
        <f t="array" ref="B30">_xlfn.IFS(E30&gt;=70000,"ABOVE 70000",E30&gt;50000,"50000 TO 69999",E30&gt;=30000,"30000 T0 49999",E30&lt;30000,"BELOW30000")</f>
        <v>30000 T0 49999</v>
      </c>
      <c r="C30" s="2" t="s">
        <v>12</v>
      </c>
      <c r="D30" s="2">
        <v>30</v>
      </c>
      <c r="E30" s="5">
        <v>30000</v>
      </c>
      <c r="F30" s="6">
        <v>28000</v>
      </c>
      <c r="G30" s="4">
        <f t="shared" si="0"/>
        <v>2000</v>
      </c>
      <c r="H30" s="8">
        <v>29</v>
      </c>
      <c r="I30" s="9">
        <v>73000</v>
      </c>
      <c r="J30" s="9">
        <v>79000</v>
      </c>
      <c r="K30" s="18" t="str" cm="1">
        <f t="array" ref="K30">_xlfn.IFS(D30&gt;80,"above 80",D30&gt;60,"61-80",D30&gt;40,"41-60",D30&gt;20,"21-40",D30&lt;=20,"below 20")</f>
        <v>21-40</v>
      </c>
      <c r="L30" s="2" t="str" cm="1">
        <f t="array" ref="L30">_xlfn.IFS(G30&gt;5000,"GREATER THAN 5000",G30&gt;=3000,"3000 TO 4999",G30&lt;3000,"LESS THAN 3000")</f>
        <v>LESS THAN 3000</v>
      </c>
      <c r="M30" s="2"/>
      <c r="N30" s="2" t="str" cm="1">
        <f t="array" ref="N30">_xlfn.IFS(F30&gt;60000,"&gt;60000",F30&gt;=40000,"40000 TO 59999",F30&gt;=25000,"25000 TO 39999",F30&lt;25000,"BELOW 25000")</f>
        <v>25000 TO 39999</v>
      </c>
      <c r="O30" s="2"/>
      <c r="Q30" s="17" t="s">
        <v>47</v>
      </c>
      <c r="R30" s="2">
        <v>1986000</v>
      </c>
      <c r="S30" s="2">
        <v>2210000</v>
      </c>
      <c r="T30" s="18">
        <v>4196000</v>
      </c>
      <c r="Z30" s="17">
        <v>23</v>
      </c>
      <c r="AA30" s="2">
        <v>2</v>
      </c>
      <c r="AB30" s="2">
        <v>108000</v>
      </c>
      <c r="AC30" s="2">
        <v>54000</v>
      </c>
      <c r="AD30" s="18">
        <v>18000000</v>
      </c>
    </row>
    <row r="31" spans="1:30" x14ac:dyDescent="0.25">
      <c r="A31" s="2" t="s">
        <v>37</v>
      </c>
      <c r="B31" s="2" t="str" cm="1">
        <f t="array" ref="B31">_xlfn.IFS(E31&gt;=70000,"ABOVE 70000",E31&gt;50000,"50000 TO 69999",E31&gt;=30000,"30000 T0 49999",E31&lt;30000,"BELOW30000")</f>
        <v>BELOW30000</v>
      </c>
      <c r="C31" s="2" t="s">
        <v>12</v>
      </c>
      <c r="D31" s="2">
        <v>50</v>
      </c>
      <c r="E31" s="3">
        <v>25500</v>
      </c>
      <c r="F31" s="4">
        <v>20000</v>
      </c>
      <c r="G31" s="4">
        <f t="shared" si="0"/>
        <v>5500</v>
      </c>
      <c r="H31" s="8">
        <v>30</v>
      </c>
      <c r="I31" s="9">
        <v>74000</v>
      </c>
      <c r="J31" s="9">
        <v>80000</v>
      </c>
      <c r="K31" s="18" t="str" cm="1">
        <f t="array" ref="K31">_xlfn.IFS(D31&gt;80,"above 80",D31&gt;60,"61-80",D31&gt;40,"41-60",D31&gt;20,"21-40",D31&lt;=20,"below 20")</f>
        <v>41-60</v>
      </c>
      <c r="L31" s="2" t="str" cm="1">
        <f t="array" ref="L31">_xlfn.IFS(G31&gt;5000,"GREATER THAN 5000",G31&gt;=3000,"3000 TO 4999",G31&lt;3000,"LESS THAN 3000")</f>
        <v>GREATER THAN 5000</v>
      </c>
      <c r="M31" s="2"/>
      <c r="N31" s="2" t="str" cm="1">
        <f t="array" ref="N31">_xlfn.IFS(F31&gt;60000,"&gt;60000",F31&gt;=40000,"40000 TO 59999",F31&gt;=25000,"25000 TO 39999",F31&lt;25000,"BELOW 25000")</f>
        <v>BELOW 25000</v>
      </c>
      <c r="O31" s="2"/>
      <c r="Q31" s="17" t="s">
        <v>48</v>
      </c>
      <c r="R31" s="2">
        <v>56742.857142857145</v>
      </c>
      <c r="S31" s="2">
        <v>63142.857142857145</v>
      </c>
      <c r="T31" s="18">
        <v>59942.857142857145</v>
      </c>
      <c r="Z31" s="17">
        <v>24</v>
      </c>
      <c r="AA31" s="2">
        <v>2</v>
      </c>
      <c r="AB31" s="2">
        <v>112000</v>
      </c>
      <c r="AC31" s="2">
        <v>56000</v>
      </c>
      <c r="AD31" s="18">
        <v>18000000</v>
      </c>
    </row>
    <row r="32" spans="1:30" x14ac:dyDescent="0.25">
      <c r="A32" s="2" t="s">
        <v>38</v>
      </c>
      <c r="B32" s="2" t="str" cm="1">
        <f t="array" ref="B32">_xlfn.IFS(E32&gt;=70000,"ABOVE 70000",E32&gt;50000,"50000 TO 69999",E32&gt;=30000,"30000 T0 49999",E32&lt;30000,"BELOW30000")</f>
        <v>BELOW30000</v>
      </c>
      <c r="C32" s="2" t="s">
        <v>12</v>
      </c>
      <c r="D32" s="2">
        <v>37</v>
      </c>
      <c r="E32" s="3">
        <v>25200</v>
      </c>
      <c r="F32" s="4">
        <v>22000</v>
      </c>
      <c r="G32" s="4">
        <f t="shared" si="0"/>
        <v>3200</v>
      </c>
      <c r="H32" s="8">
        <v>31</v>
      </c>
      <c r="I32" s="9">
        <v>45000</v>
      </c>
      <c r="J32" s="9">
        <v>52000</v>
      </c>
      <c r="K32" s="18" t="str" cm="1">
        <f t="array" ref="K32">_xlfn.IFS(D32&gt;80,"above 80",D32&gt;60,"61-80",D32&gt;40,"41-60",D32&gt;20,"21-40",D32&lt;=20,"below 20")</f>
        <v>21-40</v>
      </c>
      <c r="L32" s="2" t="str" cm="1">
        <f t="array" ref="L32">_xlfn.IFS(G32&gt;5000,"GREATER THAN 5000",G32&gt;=3000,"3000 TO 4999",G32&lt;3000,"LESS THAN 3000")</f>
        <v>3000 TO 4999</v>
      </c>
      <c r="M32" s="2"/>
      <c r="N32" s="2" t="str" cm="1">
        <f t="array" ref="N32">_xlfn.IFS(F32&gt;60000,"&gt;60000",F32&gt;=40000,"40000 TO 59999",F32&gt;=25000,"25000 TO 39999",F32&lt;25000,"BELOW 25000")</f>
        <v>BELOW 25000</v>
      </c>
      <c r="O32" s="2"/>
      <c r="Q32" s="19" t="s">
        <v>49</v>
      </c>
      <c r="R32" s="20">
        <v>101549579.83193296</v>
      </c>
      <c r="S32" s="20">
        <v>103067226.89075604</v>
      </c>
      <c r="T32" s="21">
        <v>111214078.67494842</v>
      </c>
      <c r="Z32" s="17">
        <v>25</v>
      </c>
      <c r="AA32" s="2">
        <v>2</v>
      </c>
      <c r="AB32" s="2">
        <v>114000</v>
      </c>
      <c r="AC32" s="2">
        <v>57000</v>
      </c>
      <c r="AD32" s="18">
        <v>18000000</v>
      </c>
    </row>
    <row r="33" spans="1:30" x14ac:dyDescent="0.25">
      <c r="A33" s="2" t="s">
        <v>39</v>
      </c>
      <c r="B33" s="2" t="str" cm="1">
        <f t="array" ref="B33">_xlfn.IFS(E33&gt;=70000,"ABOVE 70000",E33&gt;50000,"50000 TO 69999",E33&gt;=30000,"30000 T0 49999",E33&lt;30000,"BELOW30000")</f>
        <v>BELOW30000</v>
      </c>
      <c r="C33" s="2" t="s">
        <v>7</v>
      </c>
      <c r="D33" s="2">
        <v>51</v>
      </c>
      <c r="E33" s="3">
        <v>25000</v>
      </c>
      <c r="F33" s="4">
        <v>20000</v>
      </c>
      <c r="G33" s="4">
        <f t="shared" si="0"/>
        <v>5000</v>
      </c>
      <c r="H33" s="8">
        <v>32</v>
      </c>
      <c r="I33" s="9">
        <v>47000</v>
      </c>
      <c r="J33" s="9">
        <v>54000</v>
      </c>
      <c r="K33" s="18" t="str" cm="1">
        <f t="array" ref="K33">_xlfn.IFS(D33&gt;80,"above 80",D33&gt;60,"61-80",D33&gt;40,"41-60",D33&gt;20,"21-40",D33&lt;=20,"below 20")</f>
        <v>41-60</v>
      </c>
      <c r="L33" s="2" t="str" cm="1">
        <f t="array" ref="L33">_xlfn.IFS(G33&gt;5000,"GREATER THAN 5000",G33&gt;=3000,"3000 TO 4999",G33&lt;3000,"LESS THAN 3000")</f>
        <v>3000 TO 4999</v>
      </c>
      <c r="M33" s="2"/>
      <c r="N33" s="2" t="str" cm="1">
        <f t="array" ref="N33">_xlfn.IFS(F33&gt;60000,"&gt;60000",F33&gt;=40000,"40000 TO 59999",F33&gt;=25000,"25000 TO 39999",F33&lt;25000,"BELOW 25000")</f>
        <v>BELOW 25000</v>
      </c>
      <c r="O33" s="2"/>
      <c r="Z33" s="17">
        <v>26</v>
      </c>
      <c r="AA33" s="2">
        <v>2</v>
      </c>
      <c r="AB33" s="2">
        <v>146000</v>
      </c>
      <c r="AC33" s="2">
        <v>73000</v>
      </c>
      <c r="AD33" s="18">
        <v>18000000</v>
      </c>
    </row>
    <row r="34" spans="1:30" x14ac:dyDescent="0.25">
      <c r="A34" s="2" t="s">
        <v>40</v>
      </c>
      <c r="B34" s="2" t="str" cm="1">
        <f t="array" ref="B34">_xlfn.IFS(E34&gt;=70000,"ABOVE 70000",E34&gt;50000,"50000 TO 69999",E34&gt;=30000,"30000 T0 49999",E34&lt;30000,"BELOW30000")</f>
        <v>BELOW30000</v>
      </c>
      <c r="C34" s="2" t="s">
        <v>12</v>
      </c>
      <c r="D34" s="2">
        <v>36</v>
      </c>
      <c r="E34" s="3">
        <v>25000</v>
      </c>
      <c r="F34" s="4">
        <v>22000</v>
      </c>
      <c r="G34" s="4">
        <f t="shared" si="0"/>
        <v>3000</v>
      </c>
      <c r="H34" s="8">
        <v>33</v>
      </c>
      <c r="I34" s="9">
        <v>46000</v>
      </c>
      <c r="J34" s="9">
        <v>53000</v>
      </c>
      <c r="K34" s="18" t="str" cm="1">
        <f t="array" ref="K34">_xlfn.IFS(D34&gt;80,"above 80",D34&gt;60,"61-80",D34&gt;40,"41-60",D34&gt;20,"21-40",D34&lt;=20,"below 20")</f>
        <v>21-40</v>
      </c>
      <c r="L34" s="2" t="str" cm="1">
        <f t="array" ref="L34">_xlfn.IFS(G34&gt;5000,"GREATER THAN 5000",G34&gt;=3000,"3000 TO 4999",G34&lt;3000,"LESS THAN 3000")</f>
        <v>3000 TO 4999</v>
      </c>
      <c r="M34" s="2"/>
      <c r="N34" s="2" t="str" cm="1">
        <f t="array" ref="N34">_xlfn.IFS(F34&gt;60000,"&gt;60000",F34&gt;=40000,"40000 TO 59999",F34&gt;=25000,"25000 TO 39999",F34&lt;25000,"BELOW 25000")</f>
        <v>BELOW 25000</v>
      </c>
      <c r="O34" s="2"/>
      <c r="Q34" s="28" t="s">
        <v>60</v>
      </c>
      <c r="R34" s="28"/>
      <c r="S34" s="28"/>
      <c r="Z34" s="17">
        <v>27</v>
      </c>
      <c r="AA34" s="2">
        <v>2</v>
      </c>
      <c r="AB34" s="2">
        <v>150000</v>
      </c>
      <c r="AC34" s="2">
        <v>75000</v>
      </c>
      <c r="AD34" s="18">
        <v>18000000</v>
      </c>
    </row>
    <row r="35" spans="1:30" x14ac:dyDescent="0.25">
      <c r="A35" s="2" t="s">
        <v>41</v>
      </c>
      <c r="B35" s="2" t="str" cm="1">
        <f t="array" ref="B35">_xlfn.IFS(E35&gt;=70000,"ABOVE 70000",E35&gt;50000,"50000 TO 69999",E35&gt;=30000,"30000 T0 49999",E35&lt;30000,"BELOW30000")</f>
        <v>BELOW30000</v>
      </c>
      <c r="C35" s="2" t="s">
        <v>7</v>
      </c>
      <c r="D35" s="2">
        <v>28</v>
      </c>
      <c r="E35" s="5">
        <v>25000</v>
      </c>
      <c r="F35" s="6">
        <v>24000</v>
      </c>
      <c r="G35" s="4">
        <f t="shared" si="0"/>
        <v>1000</v>
      </c>
      <c r="H35" s="8">
        <v>34</v>
      </c>
      <c r="I35" s="9">
        <v>48000</v>
      </c>
      <c r="J35" s="9">
        <v>55000</v>
      </c>
      <c r="K35" s="18" t="str" cm="1">
        <f t="array" ref="K35">_xlfn.IFS(D35&gt;80,"above 80",D35&gt;60,"61-80",D35&gt;40,"41-60",D35&gt;20,"21-40",D35&lt;=20,"below 20")</f>
        <v>21-40</v>
      </c>
      <c r="L35" s="2" t="str" cm="1">
        <f t="array" ref="L35">_xlfn.IFS(G35&gt;5000,"GREATER THAN 5000",G35&gt;=3000,"3000 TO 4999",G35&lt;3000,"LESS THAN 3000")</f>
        <v>LESS THAN 3000</v>
      </c>
      <c r="M35" s="2"/>
      <c r="N35" s="2" t="str" cm="1">
        <f t="array" ref="N35">_xlfn.IFS(F35&gt;60000,"&gt;60000",F35&gt;=40000,"40000 TO 59999",F35&gt;=25000,"25000 TO 39999",F35&lt;25000,"BELOW 25000")</f>
        <v>BELOW 25000</v>
      </c>
      <c r="O35" s="2"/>
      <c r="Q35" s="29" t="s">
        <v>46</v>
      </c>
      <c r="R35" s="2">
        <v>35</v>
      </c>
      <c r="S35" s="2">
        <v>35</v>
      </c>
      <c r="Z35" s="17">
        <v>28</v>
      </c>
      <c r="AA35" s="2">
        <v>2</v>
      </c>
      <c r="AB35" s="2">
        <v>148000</v>
      </c>
      <c r="AC35" s="2">
        <v>74000</v>
      </c>
      <c r="AD35" s="18">
        <v>18000000</v>
      </c>
    </row>
    <row r="36" spans="1:30" x14ac:dyDescent="0.25">
      <c r="A36" s="2" t="s">
        <v>42</v>
      </c>
      <c r="B36" s="2" t="str" cm="1">
        <f t="array" ref="B36">_xlfn.IFS(E36&gt;=70000,"ABOVE 70000",E36&gt;50000,"50000 TO 69999",E36&gt;=30000,"30000 T0 49999",E36&lt;30000,"BELOW30000")</f>
        <v>BELOW30000</v>
      </c>
      <c r="C36" s="2" t="s">
        <v>7</v>
      </c>
      <c r="D36" s="2">
        <v>25</v>
      </c>
      <c r="E36" s="3">
        <v>24100</v>
      </c>
      <c r="F36" s="4">
        <v>21000</v>
      </c>
      <c r="G36" s="4">
        <f t="shared" si="0"/>
        <v>3100</v>
      </c>
      <c r="H36" s="8">
        <v>35</v>
      </c>
      <c r="I36" s="9">
        <v>49000</v>
      </c>
      <c r="J36" s="9">
        <v>56000</v>
      </c>
      <c r="K36" s="18" t="str" cm="1">
        <f t="array" ref="K36">_xlfn.IFS(D36&gt;80,"above 80",D36&gt;60,"61-80",D36&gt;40,"41-60",D36&gt;20,"21-40",D36&lt;=20,"below 20")</f>
        <v>21-40</v>
      </c>
      <c r="L36" s="2" t="str" cm="1">
        <f t="array" ref="L36">_xlfn.IFS(G36&gt;5000,"GREATER THAN 5000",G36&gt;=3000,"3000 TO 4999",G36&lt;3000,"LESS THAN 3000")</f>
        <v>3000 TO 4999</v>
      </c>
      <c r="M36" s="2"/>
      <c r="N36" s="2" t="str" cm="1">
        <f t="array" ref="N36">_xlfn.IFS(F36&gt;60000,"&gt;60000",F36&gt;=40000,"40000 TO 59999",F36&gt;=25000,"25000 TO 39999",F36&lt;25000,"BELOW 25000")</f>
        <v>BELOW 25000</v>
      </c>
      <c r="O36" s="2"/>
      <c r="Q36" s="29" t="s">
        <v>47</v>
      </c>
      <c r="R36" s="2">
        <v>1986000</v>
      </c>
      <c r="S36" s="2">
        <v>2210000</v>
      </c>
      <c r="Z36" s="17">
        <v>29</v>
      </c>
      <c r="AA36" s="2">
        <v>2</v>
      </c>
      <c r="AB36" s="2">
        <v>152000</v>
      </c>
      <c r="AC36" s="2">
        <v>76000</v>
      </c>
      <c r="AD36" s="18">
        <v>18000000</v>
      </c>
    </row>
    <row r="37" spans="1:30" x14ac:dyDescent="0.25">
      <c r="Q37" s="29" t="s">
        <v>48</v>
      </c>
      <c r="R37" s="2">
        <v>56742.857142857145</v>
      </c>
      <c r="S37" s="2">
        <v>63142.857142857145</v>
      </c>
      <c r="Z37" s="17">
        <v>30</v>
      </c>
      <c r="AA37" s="2">
        <v>2</v>
      </c>
      <c r="AB37" s="2">
        <v>154000</v>
      </c>
      <c r="AC37" s="2">
        <v>77000</v>
      </c>
      <c r="AD37" s="18">
        <v>18000000</v>
      </c>
    </row>
    <row r="38" spans="1:30" x14ac:dyDescent="0.25">
      <c r="Q38" s="29" t="s">
        <v>49</v>
      </c>
      <c r="R38" s="2">
        <v>101549579.83193296</v>
      </c>
      <c r="S38" s="2">
        <v>103067226.89075604</v>
      </c>
      <c r="Z38" s="17">
        <v>31</v>
      </c>
      <c r="AA38" s="2">
        <v>2</v>
      </c>
      <c r="AB38" s="2">
        <v>97000</v>
      </c>
      <c r="AC38" s="2">
        <v>48500</v>
      </c>
      <c r="AD38" s="18">
        <v>24500000</v>
      </c>
    </row>
    <row r="39" spans="1:30" x14ac:dyDescent="0.25">
      <c r="Z39" s="17">
        <v>32</v>
      </c>
      <c r="AA39" s="2">
        <v>2</v>
      </c>
      <c r="AB39" s="2">
        <v>101000</v>
      </c>
      <c r="AC39" s="2">
        <v>50500</v>
      </c>
      <c r="AD39" s="18">
        <v>24500000</v>
      </c>
    </row>
    <row r="40" spans="1:30" x14ac:dyDescent="0.25">
      <c r="Z40" s="17">
        <v>33</v>
      </c>
      <c r="AA40" s="2">
        <v>2</v>
      </c>
      <c r="AB40" s="2">
        <v>99000</v>
      </c>
      <c r="AC40" s="2">
        <v>49500</v>
      </c>
      <c r="AD40" s="18">
        <v>24500000</v>
      </c>
    </row>
    <row r="41" spans="1:30" x14ac:dyDescent="0.25">
      <c r="Q41" t="s">
        <v>50</v>
      </c>
      <c r="Z41" s="17">
        <v>34</v>
      </c>
      <c r="AA41" s="2">
        <v>2</v>
      </c>
      <c r="AB41" s="2">
        <v>103000</v>
      </c>
      <c r="AC41" s="2">
        <v>51500</v>
      </c>
      <c r="AD41" s="18">
        <v>24500000</v>
      </c>
    </row>
    <row r="42" spans="1:30" x14ac:dyDescent="0.25">
      <c r="Q42" s="14" t="s">
        <v>51</v>
      </c>
      <c r="R42" s="15" t="s">
        <v>52</v>
      </c>
      <c r="S42" s="15" t="s">
        <v>53</v>
      </c>
      <c r="T42" s="15" t="s">
        <v>54</v>
      </c>
      <c r="U42" s="15" t="s">
        <v>55</v>
      </c>
      <c r="V42" s="15" t="s">
        <v>56</v>
      </c>
      <c r="W42" s="16" t="s">
        <v>57</v>
      </c>
      <c r="Z42" s="17">
        <v>35</v>
      </c>
      <c r="AA42" s="2">
        <v>2</v>
      </c>
      <c r="AB42" s="2">
        <v>105000</v>
      </c>
      <c r="AC42" s="2">
        <v>52500</v>
      </c>
      <c r="AD42" s="18">
        <v>24500000</v>
      </c>
    </row>
    <row r="43" spans="1:30" x14ac:dyDescent="0.25">
      <c r="Q43" s="17" t="s">
        <v>62</v>
      </c>
      <c r="R43" s="2">
        <v>0</v>
      </c>
      <c r="S43" s="2">
        <v>0</v>
      </c>
      <c r="T43" s="2">
        <v>65535</v>
      </c>
      <c r="U43" s="2">
        <v>65535</v>
      </c>
      <c r="V43" s="2" t="e">
        <v>#NUM!</v>
      </c>
      <c r="W43" s="18" t="e">
        <v>#NUM!</v>
      </c>
      <c r="Z43" s="17"/>
      <c r="AA43" s="2"/>
      <c r="AB43" s="2"/>
      <c r="AC43" s="2"/>
      <c r="AD43" s="18"/>
    </row>
    <row r="44" spans="1:30" x14ac:dyDescent="0.25">
      <c r="Q44" s="17" t="s">
        <v>63</v>
      </c>
      <c r="R44" s="2">
        <v>716800000</v>
      </c>
      <c r="S44" s="2">
        <v>1</v>
      </c>
      <c r="T44" s="2">
        <v>716800000</v>
      </c>
      <c r="U44" s="2">
        <v>7.0062670948770815</v>
      </c>
      <c r="V44" s="2">
        <v>1.0084550290100148E-2</v>
      </c>
      <c r="W44" s="18">
        <v>3.9818962563017628</v>
      </c>
      <c r="Z44" s="17" t="s">
        <v>12</v>
      </c>
      <c r="AA44" s="2">
        <v>35</v>
      </c>
      <c r="AB44" s="2">
        <v>1986000</v>
      </c>
      <c r="AC44" s="2">
        <v>56742.857142857145</v>
      </c>
      <c r="AD44" s="18">
        <v>101549579.83193296</v>
      </c>
    </row>
    <row r="45" spans="1:30" x14ac:dyDescent="0.25">
      <c r="Q45" s="17" t="s">
        <v>64</v>
      </c>
      <c r="R45" s="2">
        <v>0</v>
      </c>
      <c r="S45" s="2">
        <v>0</v>
      </c>
      <c r="T45" s="2">
        <v>65535</v>
      </c>
      <c r="U45" s="2">
        <v>65535</v>
      </c>
      <c r="V45" s="2" t="e">
        <v>#NUM!</v>
      </c>
      <c r="W45" s="18" t="e">
        <v>#NUM!</v>
      </c>
      <c r="Z45" s="19" t="s">
        <v>7</v>
      </c>
      <c r="AA45" s="20">
        <v>35</v>
      </c>
      <c r="AB45" s="20">
        <v>2210000</v>
      </c>
      <c r="AC45" s="20">
        <v>63142.857142857145</v>
      </c>
      <c r="AD45" s="21">
        <v>103067226.89075604</v>
      </c>
    </row>
    <row r="46" spans="1:30" x14ac:dyDescent="0.25">
      <c r="Q46" s="17" t="s">
        <v>65</v>
      </c>
      <c r="R46" s="2">
        <v>6956971428.5714283</v>
      </c>
      <c r="S46" s="2">
        <v>68</v>
      </c>
      <c r="T46" s="2">
        <v>102308403.36134453</v>
      </c>
      <c r="U46" s="2"/>
      <c r="V46" s="2"/>
      <c r="W46" s="18"/>
    </row>
    <row r="47" spans="1:30" x14ac:dyDescent="0.25">
      <c r="Q47" s="17"/>
      <c r="R47" s="2"/>
      <c r="S47" s="2"/>
      <c r="T47" s="2"/>
      <c r="U47" s="2"/>
      <c r="V47" s="2"/>
      <c r="W47" s="18"/>
    </row>
    <row r="48" spans="1:30" x14ac:dyDescent="0.25">
      <c r="Q48" s="19" t="s">
        <v>60</v>
      </c>
      <c r="R48" s="20">
        <v>7673771428.5714283</v>
      </c>
      <c r="S48" s="20">
        <v>69</v>
      </c>
      <c r="T48" s="20"/>
      <c r="U48" s="20"/>
      <c r="V48" s="20"/>
      <c r="W48" s="21"/>
      <c r="Z48" t="s">
        <v>50</v>
      </c>
    </row>
    <row r="49" spans="12:32" x14ac:dyDescent="0.25">
      <c r="Z49" s="14" t="s">
        <v>51</v>
      </c>
      <c r="AA49" s="15" t="s">
        <v>52</v>
      </c>
      <c r="AB49" s="15" t="s">
        <v>53</v>
      </c>
      <c r="AC49" s="15" t="s">
        <v>54</v>
      </c>
      <c r="AD49" s="15" t="s">
        <v>55</v>
      </c>
      <c r="AE49" s="15" t="s">
        <v>56</v>
      </c>
      <c r="AF49" s="16" t="s">
        <v>57</v>
      </c>
    </row>
    <row r="50" spans="12:32" x14ac:dyDescent="0.25">
      <c r="Z50" s="17" t="s">
        <v>67</v>
      </c>
      <c r="AA50" s="2">
        <v>6925771428.5714283</v>
      </c>
      <c r="AB50" s="2">
        <v>34</v>
      </c>
      <c r="AC50" s="2">
        <v>203699159.66386554</v>
      </c>
      <c r="AD50" s="2">
        <v>221.97985347985346</v>
      </c>
      <c r="AE50" s="2">
        <v>1.3091538175328058E-31</v>
      </c>
      <c r="AF50" s="18">
        <v>1.7720664771705754</v>
      </c>
    </row>
    <row r="51" spans="12:32" x14ac:dyDescent="0.25">
      <c r="Z51" s="17" t="s">
        <v>63</v>
      </c>
      <c r="AA51" s="2">
        <v>716800000</v>
      </c>
      <c r="AB51" s="2">
        <v>1</v>
      </c>
      <c r="AC51" s="2">
        <v>716800000</v>
      </c>
      <c r="AD51" s="2">
        <v>781.1282051282052</v>
      </c>
      <c r="AE51" s="2">
        <v>4.8532966739097556E-25</v>
      </c>
      <c r="AF51" s="18">
        <v>4.1300177456520188</v>
      </c>
    </row>
    <row r="52" spans="12:32" x14ac:dyDescent="0.25">
      <c r="Z52" s="17" t="s">
        <v>68</v>
      </c>
      <c r="AA52" s="2">
        <v>31200000</v>
      </c>
      <c r="AB52" s="2">
        <v>34</v>
      </c>
      <c r="AC52" s="2">
        <v>917647.0588235294</v>
      </c>
      <c r="AD52" s="2"/>
      <c r="AE52" s="2"/>
      <c r="AF52" s="18"/>
    </row>
    <row r="53" spans="12:32" x14ac:dyDescent="0.25">
      <c r="Z53" s="17"/>
      <c r="AA53" s="2"/>
      <c r="AB53" s="2"/>
      <c r="AC53" s="2"/>
      <c r="AD53" s="2"/>
      <c r="AE53" s="2"/>
      <c r="AF53" s="18"/>
    </row>
    <row r="54" spans="12:32" x14ac:dyDescent="0.25">
      <c r="Z54" s="19" t="s">
        <v>60</v>
      </c>
      <c r="AA54" s="20">
        <v>7673771428.5714283</v>
      </c>
      <c r="AB54" s="20">
        <v>69</v>
      </c>
      <c r="AC54" s="20"/>
      <c r="AD54" s="20"/>
      <c r="AE54" s="20"/>
      <c r="AF54" s="21"/>
    </row>
    <row r="56" spans="12:32" ht="18.75" x14ac:dyDescent="0.3">
      <c r="L56" s="30" t="s">
        <v>70</v>
      </c>
      <c r="M56" s="30"/>
      <c r="N56" s="30"/>
      <c r="O56" s="30"/>
      <c r="Q56" s="12"/>
      <c r="R56" s="12"/>
      <c r="S56" s="12"/>
      <c r="T56" s="12"/>
    </row>
    <row r="57" spans="12:32" ht="18.75" x14ac:dyDescent="0.3">
      <c r="R57" s="30" t="s">
        <v>75</v>
      </c>
      <c r="S57" s="30"/>
      <c r="T57" s="30"/>
    </row>
    <row r="58" spans="12:32" x14ac:dyDescent="0.25">
      <c r="M58" s="13" t="s">
        <v>83</v>
      </c>
      <c r="N58" s="13" t="s">
        <v>12</v>
      </c>
      <c r="O58" s="13" t="s">
        <v>7</v>
      </c>
    </row>
    <row r="59" spans="12:32" x14ac:dyDescent="0.25">
      <c r="M59" t="s">
        <v>71</v>
      </c>
      <c r="N59">
        <v>56742.857142857145</v>
      </c>
      <c r="O59">
        <v>63142.857142857145</v>
      </c>
      <c r="R59" s="13" t="s">
        <v>83</v>
      </c>
      <c r="S59" s="13" t="s">
        <v>12</v>
      </c>
      <c r="T59" s="13" t="s">
        <v>7</v>
      </c>
    </row>
    <row r="60" spans="12:32" x14ac:dyDescent="0.25">
      <c r="M60" t="s">
        <v>49</v>
      </c>
      <c r="N60">
        <v>101549579.83193296</v>
      </c>
      <c r="O60">
        <v>103067226.89075604</v>
      </c>
      <c r="R60" t="s">
        <v>71</v>
      </c>
      <c r="S60">
        <v>56742.857142857145</v>
      </c>
      <c r="T60">
        <v>63142.857142857145</v>
      </c>
    </row>
    <row r="61" spans="12:32" x14ac:dyDescent="0.25">
      <c r="R61" t="s">
        <v>76</v>
      </c>
      <c r="S61">
        <v>101549580</v>
      </c>
      <c r="T61">
        <v>103067227</v>
      </c>
    </row>
    <row r="62" spans="12:32" x14ac:dyDescent="0.25">
      <c r="M62" t="s">
        <v>53</v>
      </c>
      <c r="N62">
        <v>34</v>
      </c>
      <c r="O62">
        <v>34</v>
      </c>
      <c r="R62" t="s">
        <v>72</v>
      </c>
      <c r="S62">
        <v>35</v>
      </c>
      <c r="T62">
        <v>35</v>
      </c>
    </row>
    <row r="63" spans="12:32" x14ac:dyDescent="0.25">
      <c r="M63" t="s">
        <v>55</v>
      </c>
      <c r="N63">
        <v>0.98527517325724034</v>
      </c>
      <c r="R63" t="s">
        <v>77</v>
      </c>
      <c r="S63">
        <v>0</v>
      </c>
    </row>
    <row r="64" spans="12:32" x14ac:dyDescent="0.25">
      <c r="M64" t="s">
        <v>73</v>
      </c>
      <c r="N64">
        <v>0.48287783350040669</v>
      </c>
      <c r="R64" t="s">
        <v>78</v>
      </c>
      <c r="S64">
        <v>-2.6469354139044836</v>
      </c>
    </row>
    <row r="65" spans="13:19" x14ac:dyDescent="0.25">
      <c r="M65" t="s">
        <v>74</v>
      </c>
      <c r="N65">
        <v>0.56431291539168427</v>
      </c>
      <c r="R65" t="s">
        <v>79</v>
      </c>
      <c r="S65">
        <v>4.0612432192899117E-3</v>
      </c>
    </row>
    <row r="66" spans="13:19" x14ac:dyDescent="0.25">
      <c r="R66" t="s">
        <v>80</v>
      </c>
      <c r="S66">
        <v>1.6448536269514715</v>
      </c>
    </row>
    <row r="67" spans="13:19" x14ac:dyDescent="0.25">
      <c r="R67" t="s">
        <v>81</v>
      </c>
      <c r="S67">
        <v>8.1224864385798234E-3</v>
      </c>
    </row>
    <row r="68" spans="13:19" x14ac:dyDescent="0.25">
      <c r="R68" t="s">
        <v>82</v>
      </c>
      <c r="S68">
        <v>1.9599639845400536</v>
      </c>
    </row>
  </sheetData>
  <mergeCells count="5">
    <mergeCell ref="L1:M1"/>
    <mergeCell ref="N1:O1"/>
    <mergeCell ref="N2:O2"/>
    <mergeCell ref="R57:T57"/>
    <mergeCell ref="L56:O56"/>
  </mergeCells>
  <conditionalFormatting sqref="E1:E3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BHUSHAN</dc:creator>
  <cp:lastModifiedBy>MITS</cp:lastModifiedBy>
  <dcterms:created xsi:type="dcterms:W3CDTF">2023-09-02T13:45:58Z</dcterms:created>
  <dcterms:modified xsi:type="dcterms:W3CDTF">2026-06-06T08:56:16Z</dcterms:modified>
</cp:coreProperties>
</file>