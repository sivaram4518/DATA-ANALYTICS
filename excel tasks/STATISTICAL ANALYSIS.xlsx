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esktop\"/>
    </mc:Choice>
  </mc:AlternateContent>
  <xr:revisionPtr revIDLastSave="0" documentId="8_{FB56F2C5-D3D2-4154-9919-E470EA0198BB}" xr6:coauthVersionLast="47" xr6:coauthVersionMax="47" xr10:uidLastSave="{00000000-0000-0000-0000-000000000000}"/>
  <bookViews>
    <workbookView xWindow="-120" yWindow="-120" windowWidth="29040" windowHeight="15720" xr2:uid="{509D0729-C961-4B3D-9810-256218F961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</calcChain>
</file>

<file path=xl/sharedStrings.xml><?xml version="1.0" encoding="utf-8"?>
<sst xmlns="http://schemas.openxmlformats.org/spreadsheetml/2006/main" count="182" uniqueCount="95">
  <si>
    <t>First Name</t>
  </si>
  <si>
    <t>Last Name</t>
  </si>
  <si>
    <t>Gender</t>
  </si>
  <si>
    <t>Age</t>
  </si>
  <si>
    <t>Salary</t>
  </si>
  <si>
    <t>Expenditure</t>
  </si>
  <si>
    <t>Savings</t>
  </si>
  <si>
    <t xml:space="preserve">Aditi </t>
  </si>
  <si>
    <t>Mishra</t>
  </si>
  <si>
    <t>Female</t>
  </si>
  <si>
    <t>Sona</t>
  </si>
  <si>
    <t>Singh</t>
  </si>
  <si>
    <t>Devi</t>
  </si>
  <si>
    <t>Thakur</t>
  </si>
  <si>
    <t>Anjali</t>
  </si>
  <si>
    <t>Kaur</t>
  </si>
  <si>
    <t>Sahil</t>
  </si>
  <si>
    <t>Deshmukh</t>
  </si>
  <si>
    <t>Male</t>
  </si>
  <si>
    <t>Adhira</t>
  </si>
  <si>
    <t>Das</t>
  </si>
  <si>
    <t>Divya</t>
  </si>
  <si>
    <t>Bhatt</t>
  </si>
  <si>
    <t>Amar</t>
  </si>
  <si>
    <t>Rao</t>
  </si>
  <si>
    <t>Jaya</t>
  </si>
  <si>
    <t>Mehta</t>
  </si>
  <si>
    <t>Candy</t>
  </si>
  <si>
    <t>Patel</t>
  </si>
  <si>
    <t>Sudhir</t>
  </si>
  <si>
    <t>Raghav</t>
  </si>
  <si>
    <t>Verma</t>
  </si>
  <si>
    <t>Amitabh</t>
  </si>
  <si>
    <t>Joshi</t>
  </si>
  <si>
    <t>Kanak</t>
  </si>
  <si>
    <t>Tulsi</t>
  </si>
  <si>
    <t>Acharya</t>
  </si>
  <si>
    <t>Jasleen</t>
  </si>
  <si>
    <t>Nil</t>
  </si>
  <si>
    <t>Kumar</t>
  </si>
  <si>
    <t>Anand</t>
  </si>
  <si>
    <t>Yadav</t>
  </si>
  <si>
    <t>Atharva</t>
  </si>
  <si>
    <t>Charu</t>
  </si>
  <si>
    <t>Patil</t>
  </si>
  <si>
    <t>Ajay</t>
  </si>
  <si>
    <t>Shah</t>
  </si>
  <si>
    <t>Jai</t>
  </si>
  <si>
    <t xml:space="preserve">Ishaan </t>
  </si>
  <si>
    <t>Sharma</t>
  </si>
  <si>
    <t>Dhruva</t>
  </si>
  <si>
    <t>Artha</t>
  </si>
  <si>
    <t>Shaila</t>
  </si>
  <si>
    <t>Gupta</t>
  </si>
  <si>
    <t>Inaya</t>
  </si>
  <si>
    <t>Kumari</t>
  </si>
  <si>
    <t>Darsh</t>
  </si>
  <si>
    <t>Kulkarni</t>
  </si>
  <si>
    <t>Mihir</t>
  </si>
  <si>
    <t>Agastya</t>
  </si>
  <si>
    <t>Shaan</t>
  </si>
  <si>
    <t>Pandey</t>
  </si>
  <si>
    <t xml:space="preserve">Navi </t>
  </si>
  <si>
    <t>Ambar</t>
  </si>
  <si>
    <t>Khatri</t>
  </si>
  <si>
    <t xml:space="preserve">Lata </t>
  </si>
  <si>
    <t>Agarwal</t>
  </si>
  <si>
    <t>Anaya</t>
  </si>
  <si>
    <t>Anova: Single Factor</t>
  </si>
  <si>
    <t>SUMMARY</t>
  </si>
  <si>
    <t>Groups</t>
  </si>
  <si>
    <t>Count</t>
  </si>
  <si>
    <t>Sum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</si>
  <si>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</si>
  <si>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</si>
  <si>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</si>
  <si>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</si>
  <si>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</si>
  <si>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</si>
  <si>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</si>
  <si>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</si>
  <si>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</si>
  <si>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</si>
  <si>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</si>
  <si>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</si>
  <si>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</si>
  <si>
    <t>Anova: Two-Factor With Replication</t>
  </si>
  <si>
    <t>Sample</t>
  </si>
  <si>
    <t>Columns</t>
  </si>
  <si>
    <t>Interaction</t>
  </si>
  <si>
    <t>Within</t>
  </si>
  <si>
    <t>Anova: Two-Factor Without Replication</t>
  </si>
  <si>
    <t>Rows</t>
  </si>
  <si>
    <t>Error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</si>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</sst>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_([$INR]\ * #,##0.00_);_([$INR]\ * \(#,##0.00\);_([$INR]\ 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31">
    <xf numFmtId="0" fontId="0" fillId="0" borderId="0" xfId="0"/>
    <xf numFmtId="0" fontId="0" fillId="2" borderId="1" xfId="0" applyFill="1" applyBorder="1" applyAlignment="1">
      <alignment wrapText="1"/>
    </xf>
    <xf numFmtId="0" fontId="0" fillId="0" borderId="1" xfId="0" applyBorder="1"/>
    <xf numFmtId="165" fontId="0" fillId="0" borderId="1" xfId="0" applyNumberFormat="1" applyBorder="1" applyAlignment="1">
      <alignment horizontal="left"/>
    </xf>
    <xf numFmtId="165" fontId="0" fillId="0" borderId="1" xfId="0" applyNumberFormat="1" applyBorder="1"/>
    <xf numFmtId="165" fontId="1" fillId="0" borderId="1" xfId="2" applyNumberFormat="1" applyFont="1" applyBorder="1" applyAlignment="1">
      <alignment horizontal="left" wrapText="1"/>
    </xf>
    <xf numFmtId="165" fontId="0" fillId="0" borderId="1" xfId="0" applyNumberFormat="1" applyBorder="1" applyAlignment="1">
      <alignment vertical="center"/>
    </xf>
    <xf numFmtId="165" fontId="0" fillId="0" borderId="1" xfId="1" applyNumberFormat="1" applyFont="1" applyBorder="1" applyAlignment="1">
      <alignment horizontal="left"/>
    </xf>
    <xf numFmtId="0" fontId="0" fillId="0" borderId="0" xfId="0" applyFill="1" applyBorder="1" applyAlignment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0" fontId="4" fillId="0" borderId="4" xfId="0" applyFont="1" applyFill="1" applyBorder="1" applyAlignment="1">
      <alignment horizontal="center"/>
    </xf>
    <xf numFmtId="0" fontId="0" fillId="0" borderId="5" xfId="0" applyFill="1" applyBorder="1" applyAlignment="1"/>
    <xf numFmtId="0" fontId="0" fillId="0" borderId="1" xfId="0" applyFill="1" applyBorder="1" applyAlignment="1"/>
    <xf numFmtId="0" fontId="0" fillId="0" borderId="6" xfId="0" applyFill="1" applyBorder="1" applyAlignment="1"/>
    <xf numFmtId="0" fontId="0" fillId="0" borderId="7" xfId="0" applyFill="1" applyBorder="1" applyAlignment="1"/>
    <xf numFmtId="0" fontId="0" fillId="0" borderId="8" xfId="0" applyFill="1" applyBorder="1" applyAlignment="1"/>
    <xf numFmtId="0" fontId="0" fillId="0" borderId="9" xfId="0" applyFill="1" applyBorder="1" applyAlignment="1"/>
    <xf numFmtId="0" fontId="0" fillId="0" borderId="4" xfId="0" applyBorder="1"/>
    <xf numFmtId="0" fontId="0" fillId="0" borderId="2" xfId="0" applyBorder="1"/>
    <xf numFmtId="0" fontId="0" fillId="0" borderId="3" xfId="0" applyBorder="1"/>
    <xf numFmtId="0" fontId="5" fillId="0" borderId="5" xfId="0" applyFont="1" applyFill="1" applyBorder="1" applyAlignment="1">
      <alignment horizontal="right"/>
    </xf>
    <xf numFmtId="0" fontId="5" fillId="0" borderId="1" xfId="0" applyFont="1" applyFill="1" applyBorder="1" applyAlignment="1">
      <alignment horizontal="right"/>
    </xf>
    <xf numFmtId="0" fontId="5" fillId="0" borderId="6" xfId="0" applyFont="1" applyFill="1" applyBorder="1" applyAlignment="1">
      <alignment horizontal="right"/>
    </xf>
    <xf numFmtId="0" fontId="5" fillId="0" borderId="0" xfId="0" applyFont="1" applyFill="1" applyBorder="1" applyAlignment="1">
      <alignment horizontal="right"/>
    </xf>
    <xf numFmtId="0" fontId="0" fillId="3" borderId="1" xfId="0" applyFill="1" applyBorder="1" applyAlignment="1"/>
  </cellXfs>
  <cellStyles count="3">
    <cellStyle name="Currency" xfId="1" builtinId="4"/>
    <cellStyle name="Hyperlink" xfId="2" builtinId="8"/>
    <cellStyle name="Normal" xfId="0" builtinId="0"/>
  </cellStyles>
  <dxfs count="65"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79F64B-2976-4324-B855-8F81BFBBA0CF}" name="Table1" displayName="Table1" ref="M9:Q11" totalsRowShown="0" headerRowDxfId="43" dataDxfId="64" headerRowBorderDxfId="50" tableBorderDxfId="51" totalsRowBorderDxfId="49">
  <autoFilter ref="M9:Q11" xr:uid="{A179F64B-2976-4324-B855-8F81BFBBA0CF}"/>
  <tableColumns count="5">
    <tableColumn id="1" xr3:uid="{C85C71BD-87D2-4ED3-8FD9-9C38C625E5D8}" name="Groups" dataDxfId="48"/>
    <tableColumn id="2" xr3:uid="{CEF2F472-A7C8-4D26-83A8-0C7FB7E5E842}" name="Count" dataDxfId="47"/>
    <tableColumn id="3" xr3:uid="{69194209-61EC-4244-A960-FEE22E5FA6D8}" name="Sum" dataDxfId="46"/>
    <tableColumn id="4" xr3:uid="{ED1D07FB-139B-4DC5-8F69-12EC25352558}" name="Average" dataDxfId="45"/>
    <tableColumn id="5" xr3:uid="{A20595CC-8611-4DD1-B3A7-4998BEF50B94}" name="Variance" dataDxfId="44"/>
  </tableColumns>
  <tableStyleInfo name="TableStyleDark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151EC3-5C85-4393-B0D2-578DE693F5EE}" name="Table2" displayName="Table2" ref="M15:S19" totalsRowShown="0" headerRowDxfId="32" dataDxfId="63" headerRowBorderDxfId="41" tableBorderDxfId="42" totalsRowBorderDxfId="40">
  <autoFilter ref="M15:S19" xr:uid="{3E151EC3-5C85-4393-B0D2-578DE693F5EE}"/>
  <tableColumns count="7">
    <tableColumn id="1" xr3:uid="{082F5830-E120-499E-993D-FA0BB4E85648}" name="Source of Variation" dataDxfId="39"/>
    <tableColumn id="2" xr3:uid="{DA9D37DE-D152-4918-BDEE-9925185C80C6}" name="SS" dataDxfId="38"/>
    <tableColumn id="3" xr3:uid="{8623A0CB-33F6-48EC-9EB9-8A9A9B20FA81}" name="df" dataDxfId="37"/>
    <tableColumn id="4" xr3:uid="{BD7FBF92-CBC1-4C3C-85A8-BB839304136C}" name="MS" dataDxfId="36"/>
    <tableColumn id="5" xr3:uid="{11EFB520-E9B3-4FE8-A02A-87E5A6EE3441}" name="F" dataDxfId="35"/>
    <tableColumn id="6" xr3:uid="{42FA7E19-225C-4560-B87D-1E384C4B8949}" name="P-value" dataDxfId="34"/>
    <tableColumn id="7" xr3:uid="{1DC72050-D92B-4460-9309-438C53BDCE98}" name="F crit" dataDxfId="33"/>
  </tableColumns>
  <tableStyleInfo name="TableStyleDark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574030A-07C0-4FC5-A73C-46952270FCC3}" name="Table5" displayName="Table5" ref="V7:Z45" totalsRowShown="0" headerRowDxfId="52" dataDxfId="62" headerRowBorderDxfId="59" tableBorderDxfId="60" totalsRowBorderDxfId="58">
  <autoFilter ref="V7:Z45" xr:uid="{B574030A-07C0-4FC5-A73C-46952270FCC3}"/>
  <tableColumns count="5">
    <tableColumn id="1" xr3:uid="{C90012CF-34FE-48C5-94D1-001EE2C8190F}" name="SUMMARY" dataDxfId="57"/>
    <tableColumn id="2" xr3:uid="{EBD91CA6-CCE0-4C71-9B11-8B0B0C62688C}" name="Count" dataDxfId="56"/>
    <tableColumn id="3" xr3:uid="{3EF6C3F0-5BBF-46AF-B375-8890E1F1A569}" name="Sum" dataDxfId="55"/>
    <tableColumn id="4" xr3:uid="{EDA9EA8A-D2FF-4307-93BC-89C84749F81C}" name="Average" dataDxfId="54"/>
    <tableColumn id="5" xr3:uid="{C925D012-A2FF-4114-92D1-17A88555D9D1}" name="Variance" dataDxfId="53"/>
  </tableColumns>
  <tableStyleInfo name="TableStyleDark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AE27F7C-7BB3-460E-A98D-B22F083D4CC3}" name="Table6" displayName="Table6" ref="V49:AB54" totalsRowShown="0" headerRowDxfId="21" dataDxfId="61" headerRowBorderDxfId="30" tableBorderDxfId="31" totalsRowBorderDxfId="29">
  <autoFilter ref="V49:AB54" xr:uid="{3AE27F7C-7BB3-460E-A98D-B22F083D4CC3}"/>
  <tableColumns count="7">
    <tableColumn id="1" xr3:uid="{AA6C8ADE-C3BF-4952-B284-E4FF47F6E8D9}" name="Source of Variation" dataDxfId="28"/>
    <tableColumn id="2" xr3:uid="{BAC7BFC3-790B-4C9B-ADA5-415E0B63E254}" name="SS" dataDxfId="27"/>
    <tableColumn id="3" xr3:uid="{EF1CFC29-8E50-426D-96AF-B456043E3858}" name="df" dataDxfId="26"/>
    <tableColumn id="4" xr3:uid="{F1DBD056-91FC-4616-922B-052DCAA4DC8A}" name="MS" dataDxfId="25"/>
    <tableColumn id="5" xr3:uid="{3463C8DB-9887-4800-B43A-9A76AA4AA822}" name="F" dataDxfId="24"/>
    <tableColumn id="6" xr3:uid="{9CE5C203-EC95-4095-AE4E-BDBFD629C49A}" name="P-value" dataDxfId="23"/>
    <tableColumn id="7" xr3:uid="{1B1137CF-DAB1-41B7-8109-C01BD965B9AA}" name="F crit" dataDxfId="22"/>
  </tableColumns>
  <tableStyleInfo name="TableStyleDark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24D4551-ED2C-4761-9B71-9CC8765782D7}" name="Table7" displayName="Table7" ref="M25:P30" totalsRowShown="0" headerRowDxfId="11" dataDxfId="20" headerRowBorderDxfId="17" tableBorderDxfId="18" totalsRowBorderDxfId="16">
  <autoFilter ref="M25:P30" xr:uid="{824D4551-ED2C-4761-9B71-9CC8765782D7}"/>
  <tableColumns count="4">
    <tableColumn id="1" xr3:uid="{B1E8C5A6-0C67-4214-95DD-5F6CAD6EEB7B}" name="SUMMARY" dataDxfId="15"/>
    <tableColumn id="2" xr3:uid="{69F126AE-E984-4A48-9CA6-7EFC272E6597}" name="Male" dataDxfId="14"/>
    <tableColumn id="3" xr3:uid="{A19A3A2F-E56E-4A7C-AC19-CFFD109CD12E}" name="Female" dataDxfId="13"/>
    <tableColumn id="4" xr3:uid="{6534804D-235E-48F8-AA13-CCB72D0521EF}" name="Total" dataDxfId="12"/>
  </tableColumns>
  <tableStyleInfo name="TableStyleDark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434FE89-65EE-4EFB-843E-07D85620AC6C}" name="Table8" displayName="Table8" ref="M40:S46" totalsRowShown="0" headerRowDxfId="0" dataDxfId="19" headerRowBorderDxfId="9" tableBorderDxfId="10" totalsRowBorderDxfId="8">
  <autoFilter ref="M40:S46" xr:uid="{5434FE89-65EE-4EFB-843E-07D85620AC6C}"/>
  <tableColumns count="7">
    <tableColumn id="1" xr3:uid="{363329DC-07A2-4C7D-9150-1EDD0916D9B9}" name="Source of Variation" dataDxfId="7"/>
    <tableColumn id="2" xr3:uid="{76B98C9C-2FB2-40A4-B5B8-66A208BA4953}" name="SS" dataDxfId="6"/>
    <tableColumn id="3" xr3:uid="{F767DDC6-1327-42AB-B450-7D5FBB9B35BA}" name="df" dataDxfId="5"/>
    <tableColumn id="4" xr3:uid="{646BDB5B-41D6-449A-8E4C-ECA68B722A6B}" name="MS" dataDxfId="4"/>
    <tableColumn id="5" xr3:uid="{A4A5C24F-9E49-4CBD-B0CA-04F983C240D2}" name="F" dataDxfId="3"/>
    <tableColumn id="6" xr3:uid="{97909BBA-EE5B-4EC6-963B-D7790A09C895}" name="P-value" dataDxfId="2"/>
    <tableColumn id="7" xr3:uid="{B7F9EF2E-14CD-48BA-B82B-AB5D3AF300C7}" name="F crit" dataDxfId="1"/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81666-D364-45CB-9BF6-E35AF9DC6961}">
  <dimension ref="A1:AB54"/>
  <sheetViews>
    <sheetView tabSelected="1" zoomScale="80" zoomScaleNormal="80" workbookViewId="0">
      <selection activeCell="H1" sqref="H1:H1048576"/>
    </sheetView>
  </sheetViews>
  <sheetFormatPr defaultRowHeight="15" x14ac:dyDescent="0.25"/>
  <cols>
    <col min="5" max="7" width="14.28515625" bestFit="1" customWidth="1"/>
    <col min="13" max="13" width="20.140625" customWidth="1"/>
    <col min="15" max="15" width="10.5703125" customWidth="1"/>
    <col min="16" max="16" width="10.7109375" customWidth="1"/>
    <col min="17" max="17" width="11.28515625" customWidth="1"/>
    <col min="18" max="18" width="10" customWidth="1"/>
    <col min="22" max="22" width="20.140625" customWidth="1"/>
    <col min="25" max="25" width="10.7109375" customWidth="1"/>
    <col min="26" max="26" width="11.28515625" customWidth="1"/>
    <col min="27" max="27" width="10" customWidth="1"/>
  </cols>
  <sheetData>
    <row r="1" spans="1:2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1" t="s">
        <v>94</v>
      </c>
      <c r="I1" s="12" t="s">
        <v>18</v>
      </c>
      <c r="J1" s="12" t="s">
        <v>9</v>
      </c>
    </row>
    <row r="2" spans="1:26" x14ac:dyDescent="0.25">
      <c r="A2" s="2" t="s">
        <v>7</v>
      </c>
      <c r="B2" s="2" t="s">
        <v>8</v>
      </c>
      <c r="C2" s="2" t="s">
        <v>9</v>
      </c>
      <c r="D2" s="2">
        <v>35</v>
      </c>
      <c r="E2" s="3">
        <v>80000</v>
      </c>
      <c r="F2" s="4">
        <v>65000</v>
      </c>
      <c r="G2" s="4">
        <f>E2-F2</f>
        <v>15000</v>
      </c>
      <c r="H2" s="9">
        <v>1</v>
      </c>
      <c r="I2" s="10">
        <v>42000</v>
      </c>
      <c r="J2" s="10">
        <v>48000</v>
      </c>
    </row>
    <row r="3" spans="1:26" x14ac:dyDescent="0.25">
      <c r="A3" s="2" t="s">
        <v>10</v>
      </c>
      <c r="B3" s="2" t="s">
        <v>11</v>
      </c>
      <c r="C3" s="2" t="s">
        <v>9</v>
      </c>
      <c r="D3" s="2">
        <v>35</v>
      </c>
      <c r="E3" s="5">
        <v>70000</v>
      </c>
      <c r="F3" s="6">
        <v>58000</v>
      </c>
      <c r="G3" s="4">
        <f>E3-F3</f>
        <v>12000</v>
      </c>
      <c r="H3" s="9">
        <v>2</v>
      </c>
      <c r="I3" s="10">
        <v>45000</v>
      </c>
      <c r="J3" s="10">
        <v>50000</v>
      </c>
    </row>
    <row r="4" spans="1:26" x14ac:dyDescent="0.25">
      <c r="A4" s="2" t="s">
        <v>12</v>
      </c>
      <c r="B4" s="2" t="s">
        <v>13</v>
      </c>
      <c r="C4" s="2" t="s">
        <v>9</v>
      </c>
      <c r="D4" s="2">
        <v>36</v>
      </c>
      <c r="E4" s="5">
        <v>65000</v>
      </c>
      <c r="F4" s="6">
        <v>60000</v>
      </c>
      <c r="G4" s="4">
        <f t="shared" ref="G2:G36" si="0">E4-F4</f>
        <v>5000</v>
      </c>
      <c r="H4" s="9">
        <v>3</v>
      </c>
      <c r="I4" s="10">
        <v>40000</v>
      </c>
      <c r="J4" s="10">
        <v>47000</v>
      </c>
    </row>
    <row r="5" spans="1:26" ht="18.75" x14ac:dyDescent="0.3">
      <c r="A5" s="2" t="s">
        <v>14</v>
      </c>
      <c r="B5" s="2" t="s">
        <v>15</v>
      </c>
      <c r="C5" s="2" t="s">
        <v>9</v>
      </c>
      <c r="D5" s="2">
        <v>42</v>
      </c>
      <c r="E5" s="3">
        <v>62000</v>
      </c>
      <c r="F5" s="4">
        <v>50000</v>
      </c>
      <c r="G5" s="4">
        <f t="shared" si="0"/>
        <v>12000</v>
      </c>
      <c r="H5" s="9">
        <v>4</v>
      </c>
      <c r="I5" s="10">
        <v>43000</v>
      </c>
      <c r="J5" s="10">
        <v>49000</v>
      </c>
      <c r="V5" s="13" t="s">
        <v>91</v>
      </c>
      <c r="W5" s="13"/>
      <c r="X5" s="13"/>
      <c r="Y5" s="13"/>
      <c r="Z5" s="13"/>
    </row>
    <row r="6" spans="1:26" ht="18.75" x14ac:dyDescent="0.3">
      <c r="A6" s="2" t="s">
        <v>16</v>
      </c>
      <c r="B6" s="2" t="s">
        <v>17</v>
      </c>
      <c r="C6" s="2" t="s">
        <v>18</v>
      </c>
      <c r="D6" s="2">
        <v>29</v>
      </c>
      <c r="E6" s="3">
        <v>62000</v>
      </c>
      <c r="F6" s="4">
        <v>57000</v>
      </c>
      <c r="G6" s="4">
        <f t="shared" si="0"/>
        <v>5000</v>
      </c>
      <c r="H6" s="9">
        <v>5</v>
      </c>
      <c r="I6" s="10">
        <v>41000</v>
      </c>
      <c r="J6" s="10">
        <v>46000</v>
      </c>
      <c r="M6" s="13" t="s">
        <v>68</v>
      </c>
      <c r="N6" s="13"/>
      <c r="O6" s="13"/>
    </row>
    <row r="7" spans="1:26" x14ac:dyDescent="0.25">
      <c r="A7" s="2" t="s">
        <v>19</v>
      </c>
      <c r="B7" s="2" t="s">
        <v>20</v>
      </c>
      <c r="C7" s="2" t="s">
        <v>18</v>
      </c>
      <c r="D7" s="2">
        <v>42</v>
      </c>
      <c r="E7" s="5">
        <v>62000</v>
      </c>
      <c r="F7" s="6">
        <v>59000</v>
      </c>
      <c r="G7" s="4">
        <f t="shared" si="0"/>
        <v>3000</v>
      </c>
      <c r="H7" s="9">
        <v>6</v>
      </c>
      <c r="I7" s="10">
        <v>55000</v>
      </c>
      <c r="J7" s="10">
        <v>62000</v>
      </c>
      <c r="V7" s="14" t="s">
        <v>69</v>
      </c>
      <c r="W7" s="15" t="s">
        <v>71</v>
      </c>
      <c r="X7" s="15" t="s">
        <v>72</v>
      </c>
      <c r="Y7" s="15" t="s">
        <v>73</v>
      </c>
      <c r="Z7" s="16" t="s">
        <v>74</v>
      </c>
    </row>
    <row r="8" spans="1:26" x14ac:dyDescent="0.25">
      <c r="A8" s="2" t="s">
        <v>21</v>
      </c>
      <c r="B8" s="2" t="s">
        <v>22</v>
      </c>
      <c r="C8" s="2" t="s">
        <v>9</v>
      </c>
      <c r="D8" s="2">
        <v>42</v>
      </c>
      <c r="E8" s="5">
        <v>52500</v>
      </c>
      <c r="F8" s="6">
        <v>47000</v>
      </c>
      <c r="G8" s="4">
        <f t="shared" si="0"/>
        <v>5500</v>
      </c>
      <c r="H8" s="9">
        <v>7</v>
      </c>
      <c r="I8" s="10">
        <v>58000</v>
      </c>
      <c r="J8" s="10">
        <v>60000</v>
      </c>
      <c r="M8" t="s">
        <v>69</v>
      </c>
      <c r="V8" s="17">
        <v>1</v>
      </c>
      <c r="W8" s="18">
        <v>2</v>
      </c>
      <c r="X8" s="18">
        <v>90000</v>
      </c>
      <c r="Y8" s="18">
        <v>45000</v>
      </c>
      <c r="Z8" s="19">
        <v>18000000</v>
      </c>
    </row>
    <row r="9" spans="1:26" x14ac:dyDescent="0.25">
      <c r="A9" s="2" t="s">
        <v>23</v>
      </c>
      <c r="B9" s="2" t="s">
        <v>24</v>
      </c>
      <c r="C9" s="2" t="s">
        <v>18</v>
      </c>
      <c r="D9" s="2">
        <v>52</v>
      </c>
      <c r="E9" s="3">
        <v>52100</v>
      </c>
      <c r="F9" s="4">
        <v>46000</v>
      </c>
      <c r="G9" s="4">
        <f t="shared" si="0"/>
        <v>6100</v>
      </c>
      <c r="H9" s="9">
        <v>8</v>
      </c>
      <c r="I9" s="10">
        <v>56000</v>
      </c>
      <c r="J9" s="10">
        <v>63000</v>
      </c>
      <c r="M9" s="14" t="s">
        <v>70</v>
      </c>
      <c r="N9" s="15" t="s">
        <v>71</v>
      </c>
      <c r="O9" s="15" t="s">
        <v>72</v>
      </c>
      <c r="P9" s="15" t="s">
        <v>73</v>
      </c>
      <c r="Q9" s="16" t="s">
        <v>74</v>
      </c>
      <c r="V9" s="17">
        <v>2</v>
      </c>
      <c r="W9" s="18">
        <v>2</v>
      </c>
      <c r="X9" s="18">
        <v>95000</v>
      </c>
      <c r="Y9" s="18">
        <v>47500</v>
      </c>
      <c r="Z9" s="19">
        <v>12500000</v>
      </c>
    </row>
    <row r="10" spans="1:26" x14ac:dyDescent="0.25">
      <c r="A10" s="2" t="s">
        <v>25</v>
      </c>
      <c r="B10" s="2" t="s">
        <v>26</v>
      </c>
      <c r="C10" s="2" t="s">
        <v>9</v>
      </c>
      <c r="D10" s="2">
        <v>28</v>
      </c>
      <c r="E10" s="3">
        <v>52000</v>
      </c>
      <c r="F10" s="4">
        <v>46000</v>
      </c>
      <c r="G10" s="4">
        <f t="shared" si="0"/>
        <v>6000</v>
      </c>
      <c r="H10" s="9">
        <v>9</v>
      </c>
      <c r="I10" s="10">
        <v>54000</v>
      </c>
      <c r="J10" s="10">
        <v>61000</v>
      </c>
      <c r="M10" s="17" t="s">
        <v>4</v>
      </c>
      <c r="N10" s="18">
        <v>35</v>
      </c>
      <c r="O10" s="18">
        <v>1520600</v>
      </c>
      <c r="P10" s="18">
        <v>43445.714285714283</v>
      </c>
      <c r="Q10" s="19">
        <v>208904319.32773119</v>
      </c>
      <c r="V10" s="17">
        <v>3</v>
      </c>
      <c r="W10" s="18">
        <v>2</v>
      </c>
      <c r="X10" s="18">
        <v>87000</v>
      </c>
      <c r="Y10" s="18">
        <v>43500</v>
      </c>
      <c r="Z10" s="19">
        <v>24500000</v>
      </c>
    </row>
    <row r="11" spans="1:26" x14ac:dyDescent="0.25">
      <c r="A11" s="2" t="s">
        <v>27</v>
      </c>
      <c r="B11" s="2" t="s">
        <v>28</v>
      </c>
      <c r="C11" s="2" t="s">
        <v>9</v>
      </c>
      <c r="D11" s="2">
        <v>35</v>
      </c>
      <c r="E11" s="5">
        <v>52000</v>
      </c>
      <c r="F11" s="6">
        <v>40000</v>
      </c>
      <c r="G11" s="4">
        <f t="shared" si="0"/>
        <v>12000</v>
      </c>
      <c r="H11" s="9">
        <v>10</v>
      </c>
      <c r="I11" s="10">
        <v>57000</v>
      </c>
      <c r="J11" s="10">
        <v>64000</v>
      </c>
      <c r="M11" s="20" t="s">
        <v>5</v>
      </c>
      <c r="N11" s="21">
        <v>35</v>
      </c>
      <c r="O11" s="21">
        <v>1319000</v>
      </c>
      <c r="P11" s="21">
        <v>37685.714285714283</v>
      </c>
      <c r="Q11" s="22">
        <v>173633613.44537824</v>
      </c>
      <c r="V11" s="17">
        <v>4</v>
      </c>
      <c r="W11" s="18">
        <v>2</v>
      </c>
      <c r="X11" s="18">
        <v>92000</v>
      </c>
      <c r="Y11" s="18">
        <v>46000</v>
      </c>
      <c r="Z11" s="19">
        <v>18000000</v>
      </c>
    </row>
    <row r="12" spans="1:26" x14ac:dyDescent="0.25">
      <c r="A12" s="2" t="s">
        <v>29</v>
      </c>
      <c r="B12" s="2" t="s">
        <v>8</v>
      </c>
      <c r="C12" s="2" t="s">
        <v>18</v>
      </c>
      <c r="D12" s="2">
        <v>35</v>
      </c>
      <c r="E12" s="5">
        <v>52000</v>
      </c>
      <c r="F12" s="6">
        <v>47000</v>
      </c>
      <c r="G12" s="4">
        <f t="shared" si="0"/>
        <v>5000</v>
      </c>
      <c r="H12" s="9">
        <v>11</v>
      </c>
      <c r="I12" s="10">
        <v>65000</v>
      </c>
      <c r="J12" s="10">
        <v>72000</v>
      </c>
      <c r="V12" s="17">
        <v>5</v>
      </c>
      <c r="W12" s="18">
        <v>2</v>
      </c>
      <c r="X12" s="18">
        <v>87000</v>
      </c>
      <c r="Y12" s="18">
        <v>43500</v>
      </c>
      <c r="Z12" s="19">
        <v>12500000</v>
      </c>
    </row>
    <row r="13" spans="1:26" x14ac:dyDescent="0.25">
      <c r="A13" s="2" t="s">
        <v>30</v>
      </c>
      <c r="B13" s="2" t="s">
        <v>31</v>
      </c>
      <c r="C13" s="2" t="s">
        <v>18</v>
      </c>
      <c r="D13" s="2">
        <v>28</v>
      </c>
      <c r="E13" s="5">
        <v>51000</v>
      </c>
      <c r="F13" s="6">
        <v>49000</v>
      </c>
      <c r="G13" s="4">
        <f t="shared" si="0"/>
        <v>2000</v>
      </c>
      <c r="H13" s="9">
        <v>12</v>
      </c>
      <c r="I13" s="10">
        <v>68000</v>
      </c>
      <c r="J13" s="10">
        <v>70000</v>
      </c>
      <c r="V13" s="17">
        <v>6</v>
      </c>
      <c r="W13" s="18">
        <v>2</v>
      </c>
      <c r="X13" s="18">
        <v>117000</v>
      </c>
      <c r="Y13" s="18">
        <v>58500</v>
      </c>
      <c r="Z13" s="19">
        <v>24500000</v>
      </c>
    </row>
    <row r="14" spans="1:26" x14ac:dyDescent="0.25">
      <c r="A14" s="2" t="s">
        <v>32</v>
      </c>
      <c r="B14" s="2" t="s">
        <v>33</v>
      </c>
      <c r="C14" s="2" t="s">
        <v>18</v>
      </c>
      <c r="D14" s="2">
        <v>36</v>
      </c>
      <c r="E14" s="5">
        <v>51000</v>
      </c>
      <c r="F14" s="6">
        <v>50000</v>
      </c>
      <c r="G14" s="4">
        <f t="shared" si="0"/>
        <v>1000</v>
      </c>
      <c r="H14" s="9">
        <v>13</v>
      </c>
      <c r="I14" s="10">
        <v>66000</v>
      </c>
      <c r="J14" s="10">
        <v>73000</v>
      </c>
      <c r="M14" t="s">
        <v>75</v>
      </c>
      <c r="V14" s="17">
        <v>7</v>
      </c>
      <c r="W14" s="18">
        <v>2</v>
      </c>
      <c r="X14" s="18">
        <v>118000</v>
      </c>
      <c r="Y14" s="18">
        <v>59000</v>
      </c>
      <c r="Z14" s="19">
        <v>2000000</v>
      </c>
    </row>
    <row r="15" spans="1:26" x14ac:dyDescent="0.25">
      <c r="A15" s="2" t="s">
        <v>34</v>
      </c>
      <c r="B15" s="2" t="s">
        <v>28</v>
      </c>
      <c r="C15" s="2" t="s">
        <v>18</v>
      </c>
      <c r="D15" s="2">
        <v>45</v>
      </c>
      <c r="E15" s="3">
        <v>50500</v>
      </c>
      <c r="F15" s="4">
        <v>40000</v>
      </c>
      <c r="G15" s="4">
        <f t="shared" si="0"/>
        <v>10500</v>
      </c>
      <c r="H15" s="9">
        <v>14</v>
      </c>
      <c r="I15" s="10">
        <v>64000</v>
      </c>
      <c r="J15" s="10">
        <v>71000</v>
      </c>
      <c r="M15" s="14" t="s">
        <v>76</v>
      </c>
      <c r="N15" s="15" t="s">
        <v>77</v>
      </c>
      <c r="O15" s="15" t="s">
        <v>78</v>
      </c>
      <c r="P15" s="15" t="s">
        <v>79</v>
      </c>
      <c r="Q15" s="15" t="s">
        <v>80</v>
      </c>
      <c r="R15" s="15" t="s">
        <v>81</v>
      </c>
      <c r="S15" s="16" t="s">
        <v>82</v>
      </c>
      <c r="V15" s="17">
        <v>8</v>
      </c>
      <c r="W15" s="18">
        <v>2</v>
      </c>
      <c r="X15" s="18">
        <v>119000</v>
      </c>
      <c r="Y15" s="18">
        <v>59500</v>
      </c>
      <c r="Z15" s="19">
        <v>24500000</v>
      </c>
    </row>
    <row r="16" spans="1:26" x14ac:dyDescent="0.25">
      <c r="A16" s="2" t="s">
        <v>35</v>
      </c>
      <c r="B16" s="2" t="s">
        <v>36</v>
      </c>
      <c r="C16" s="2" t="s">
        <v>9</v>
      </c>
      <c r="D16" s="2">
        <v>40</v>
      </c>
      <c r="E16" s="5">
        <v>45200</v>
      </c>
      <c r="F16" s="6">
        <v>40000</v>
      </c>
      <c r="G16" s="4">
        <f t="shared" si="0"/>
        <v>5200</v>
      </c>
      <c r="H16" s="9">
        <v>15</v>
      </c>
      <c r="I16" s="10">
        <v>67000</v>
      </c>
      <c r="J16" s="10">
        <v>74000</v>
      </c>
      <c r="M16" s="17" t="s">
        <v>83</v>
      </c>
      <c r="N16" s="18">
        <v>580608000.00000572</v>
      </c>
      <c r="O16" s="18">
        <v>1</v>
      </c>
      <c r="P16" s="18">
        <v>580608000.00000572</v>
      </c>
      <c r="Q16" s="18">
        <v>3.0355577852948543</v>
      </c>
      <c r="R16" s="18">
        <v>8.5979735940840213E-2</v>
      </c>
      <c r="S16" s="19">
        <v>3.9818962563017628</v>
      </c>
      <c r="V16" s="17">
        <v>9</v>
      </c>
      <c r="W16" s="18">
        <v>2</v>
      </c>
      <c r="X16" s="18">
        <v>115000</v>
      </c>
      <c r="Y16" s="18">
        <v>57500</v>
      </c>
      <c r="Z16" s="19">
        <v>24500000</v>
      </c>
    </row>
    <row r="17" spans="1:26" x14ac:dyDescent="0.25">
      <c r="A17" s="2" t="s">
        <v>37</v>
      </c>
      <c r="B17" s="2" t="s">
        <v>15</v>
      </c>
      <c r="C17" s="2" t="s">
        <v>9</v>
      </c>
      <c r="D17" s="2">
        <v>50</v>
      </c>
      <c r="E17" s="3">
        <v>45000</v>
      </c>
      <c r="F17" s="4">
        <v>40000</v>
      </c>
      <c r="G17" s="4">
        <f t="shared" si="0"/>
        <v>5000</v>
      </c>
      <c r="H17" s="9">
        <v>16</v>
      </c>
      <c r="I17" s="10">
        <v>60000</v>
      </c>
      <c r="J17" s="10">
        <v>68000</v>
      </c>
      <c r="M17" s="17" t="s">
        <v>84</v>
      </c>
      <c r="N17" s="18">
        <v>13006289714.285715</v>
      </c>
      <c r="O17" s="18">
        <v>68</v>
      </c>
      <c r="P17" s="18">
        <v>191268966.38655463</v>
      </c>
      <c r="Q17" s="18"/>
      <c r="R17" s="18"/>
      <c r="S17" s="19"/>
      <c r="V17" s="17">
        <v>10</v>
      </c>
      <c r="W17" s="18">
        <v>2</v>
      </c>
      <c r="X17" s="18">
        <v>121000</v>
      </c>
      <c r="Y17" s="18">
        <v>60500</v>
      </c>
      <c r="Z17" s="19">
        <v>24500000</v>
      </c>
    </row>
    <row r="18" spans="1:26" x14ac:dyDescent="0.25">
      <c r="A18" s="2" t="s">
        <v>38</v>
      </c>
      <c r="B18" s="2" t="s">
        <v>39</v>
      </c>
      <c r="C18" s="2" t="s">
        <v>18</v>
      </c>
      <c r="D18" s="2">
        <v>44</v>
      </c>
      <c r="E18" s="3">
        <v>42000</v>
      </c>
      <c r="F18" s="4">
        <v>38000</v>
      </c>
      <c r="G18" s="4">
        <f t="shared" si="0"/>
        <v>4000</v>
      </c>
      <c r="H18" s="9">
        <v>17</v>
      </c>
      <c r="I18" s="10">
        <v>62000</v>
      </c>
      <c r="J18" s="10">
        <v>70000</v>
      </c>
      <c r="M18" s="17"/>
      <c r="N18" s="18"/>
      <c r="O18" s="18"/>
      <c r="P18" s="18"/>
      <c r="Q18" s="18"/>
      <c r="R18" s="18"/>
      <c r="S18" s="19"/>
      <c r="V18" s="17">
        <v>11</v>
      </c>
      <c r="W18" s="18">
        <v>2</v>
      </c>
      <c r="X18" s="18">
        <v>137000</v>
      </c>
      <c r="Y18" s="18">
        <v>68500</v>
      </c>
      <c r="Z18" s="19">
        <v>24500000</v>
      </c>
    </row>
    <row r="19" spans="1:26" x14ac:dyDescent="0.25">
      <c r="A19" s="2" t="s">
        <v>40</v>
      </c>
      <c r="B19" s="2" t="s">
        <v>41</v>
      </c>
      <c r="C19" s="2" t="s">
        <v>18</v>
      </c>
      <c r="D19" s="2">
        <v>28</v>
      </c>
      <c r="E19" s="5">
        <v>42000</v>
      </c>
      <c r="F19" s="6">
        <v>38000</v>
      </c>
      <c r="G19" s="4">
        <f t="shared" si="0"/>
        <v>4000</v>
      </c>
      <c r="H19" s="9">
        <v>18</v>
      </c>
      <c r="I19" s="10">
        <v>61000</v>
      </c>
      <c r="J19" s="10">
        <v>69000</v>
      </c>
      <c r="M19" s="20" t="s">
        <v>85</v>
      </c>
      <c r="N19" s="21">
        <v>13586897714.285721</v>
      </c>
      <c r="O19" s="21">
        <v>69</v>
      </c>
      <c r="P19" s="21"/>
      <c r="Q19" s="21"/>
      <c r="R19" s="21"/>
      <c r="S19" s="22"/>
      <c r="V19" s="17">
        <v>12</v>
      </c>
      <c r="W19" s="18">
        <v>2</v>
      </c>
      <c r="X19" s="18">
        <v>138000</v>
      </c>
      <c r="Y19" s="18">
        <v>69000</v>
      </c>
      <c r="Z19" s="19">
        <v>2000000</v>
      </c>
    </row>
    <row r="20" spans="1:26" x14ac:dyDescent="0.25">
      <c r="A20" s="2" t="s">
        <v>42</v>
      </c>
      <c r="B20" s="2" t="s">
        <v>20</v>
      </c>
      <c r="C20" s="2" t="s">
        <v>18</v>
      </c>
      <c r="D20" s="2">
        <v>29</v>
      </c>
      <c r="E20" s="3">
        <v>41000</v>
      </c>
      <c r="F20" s="4">
        <v>35000</v>
      </c>
      <c r="G20" s="4">
        <f t="shared" si="0"/>
        <v>6000</v>
      </c>
      <c r="H20" s="9">
        <v>19</v>
      </c>
      <c r="I20" s="10">
        <v>63000</v>
      </c>
      <c r="J20" s="10">
        <v>71000</v>
      </c>
      <c r="V20" s="17">
        <v>13</v>
      </c>
      <c r="W20" s="18">
        <v>2</v>
      </c>
      <c r="X20" s="18">
        <v>139000</v>
      </c>
      <c r="Y20" s="18">
        <v>69500</v>
      </c>
      <c r="Z20" s="19">
        <v>24500000</v>
      </c>
    </row>
    <row r="21" spans="1:26" x14ac:dyDescent="0.25">
      <c r="A21" s="2" t="s">
        <v>43</v>
      </c>
      <c r="B21" s="2" t="s">
        <v>44</v>
      </c>
      <c r="C21" s="2" t="s">
        <v>9</v>
      </c>
      <c r="D21" s="2">
        <v>26</v>
      </c>
      <c r="E21" s="5">
        <v>40000</v>
      </c>
      <c r="F21" s="6">
        <v>35000</v>
      </c>
      <c r="G21" s="4">
        <f t="shared" si="0"/>
        <v>5000</v>
      </c>
      <c r="H21" s="9">
        <v>20</v>
      </c>
      <c r="I21" s="10">
        <v>64000</v>
      </c>
      <c r="J21" s="10">
        <v>72000</v>
      </c>
      <c r="V21" s="17">
        <v>14</v>
      </c>
      <c r="W21" s="18">
        <v>2</v>
      </c>
      <c r="X21" s="18">
        <v>135000</v>
      </c>
      <c r="Y21" s="18">
        <v>67500</v>
      </c>
      <c r="Z21" s="19">
        <v>24500000</v>
      </c>
    </row>
    <row r="22" spans="1:26" x14ac:dyDescent="0.25">
      <c r="A22" s="2" t="s">
        <v>45</v>
      </c>
      <c r="B22" s="2" t="s">
        <v>46</v>
      </c>
      <c r="C22" s="2" t="s">
        <v>18</v>
      </c>
      <c r="D22" s="2">
        <v>35</v>
      </c>
      <c r="E22" s="3">
        <v>36000</v>
      </c>
      <c r="F22" s="4">
        <v>32000</v>
      </c>
      <c r="G22" s="4">
        <f t="shared" si="0"/>
        <v>4000</v>
      </c>
      <c r="H22" s="9">
        <v>21</v>
      </c>
      <c r="I22" s="10">
        <v>50000</v>
      </c>
      <c r="J22" s="10">
        <v>56000</v>
      </c>
      <c r="V22" s="17">
        <v>15</v>
      </c>
      <c r="W22" s="18">
        <v>2</v>
      </c>
      <c r="X22" s="18">
        <v>141000</v>
      </c>
      <c r="Y22" s="18">
        <v>70500</v>
      </c>
      <c r="Z22" s="19">
        <v>24500000</v>
      </c>
    </row>
    <row r="23" spans="1:26" ht="18.75" x14ac:dyDescent="0.3">
      <c r="A23" s="2" t="s">
        <v>47</v>
      </c>
      <c r="B23" s="2" t="s">
        <v>44</v>
      </c>
      <c r="C23" s="2" t="s">
        <v>18</v>
      </c>
      <c r="D23" s="2">
        <v>36</v>
      </c>
      <c r="E23" s="3">
        <v>35500</v>
      </c>
      <c r="F23" s="4">
        <v>30000</v>
      </c>
      <c r="G23" s="4">
        <f t="shared" si="0"/>
        <v>5500</v>
      </c>
      <c r="H23" s="9">
        <v>22</v>
      </c>
      <c r="I23" s="10">
        <v>52000</v>
      </c>
      <c r="J23" s="10">
        <v>58000</v>
      </c>
      <c r="M23" s="13" t="s">
        <v>86</v>
      </c>
      <c r="N23" s="13"/>
      <c r="O23" s="13"/>
      <c r="V23" s="17">
        <v>16</v>
      </c>
      <c r="W23" s="18">
        <v>2</v>
      </c>
      <c r="X23" s="18">
        <v>128000</v>
      </c>
      <c r="Y23" s="18">
        <v>64000</v>
      </c>
      <c r="Z23" s="19">
        <v>32000000</v>
      </c>
    </row>
    <row r="24" spans="1:26" x14ac:dyDescent="0.25">
      <c r="A24" s="2" t="s">
        <v>48</v>
      </c>
      <c r="B24" s="2" t="s">
        <v>49</v>
      </c>
      <c r="C24" s="2" t="s">
        <v>18</v>
      </c>
      <c r="D24" s="2">
        <v>35</v>
      </c>
      <c r="E24" s="7">
        <v>35000</v>
      </c>
      <c r="F24" s="4">
        <v>25000</v>
      </c>
      <c r="G24" s="4">
        <f t="shared" si="0"/>
        <v>10000</v>
      </c>
      <c r="H24" s="9">
        <v>23</v>
      </c>
      <c r="I24" s="10">
        <v>51000</v>
      </c>
      <c r="J24" s="10">
        <v>57000</v>
      </c>
      <c r="V24" s="17">
        <v>17</v>
      </c>
      <c r="W24" s="18">
        <v>2</v>
      </c>
      <c r="X24" s="18">
        <v>132000</v>
      </c>
      <c r="Y24" s="18">
        <v>66000</v>
      </c>
      <c r="Z24" s="19">
        <v>32000000</v>
      </c>
    </row>
    <row r="25" spans="1:26" x14ac:dyDescent="0.25">
      <c r="A25" s="2" t="s">
        <v>50</v>
      </c>
      <c r="B25" s="2" t="s">
        <v>41</v>
      </c>
      <c r="C25" s="2" t="s">
        <v>18</v>
      </c>
      <c r="D25" s="2">
        <v>42</v>
      </c>
      <c r="E25" s="3">
        <v>35000</v>
      </c>
      <c r="F25" s="4">
        <v>22000</v>
      </c>
      <c r="G25" s="4">
        <f t="shared" si="0"/>
        <v>13000</v>
      </c>
      <c r="H25" s="9">
        <v>24</v>
      </c>
      <c r="I25" s="10">
        <v>53000</v>
      </c>
      <c r="J25" s="10">
        <v>59000</v>
      </c>
      <c r="M25" s="24" t="s">
        <v>69</v>
      </c>
      <c r="N25" s="25" t="s">
        <v>18</v>
      </c>
      <c r="O25" s="25" t="s">
        <v>9</v>
      </c>
      <c r="P25" s="23" t="s">
        <v>85</v>
      </c>
      <c r="V25" s="17">
        <v>18</v>
      </c>
      <c r="W25" s="18">
        <v>2</v>
      </c>
      <c r="X25" s="18">
        <v>130000</v>
      </c>
      <c r="Y25" s="18">
        <v>65000</v>
      </c>
      <c r="Z25" s="19">
        <v>32000000</v>
      </c>
    </row>
    <row r="26" spans="1:26" x14ac:dyDescent="0.25">
      <c r="A26" s="2" t="s">
        <v>51</v>
      </c>
      <c r="B26" s="2" t="s">
        <v>49</v>
      </c>
      <c r="C26" s="2" t="s">
        <v>18</v>
      </c>
      <c r="D26" s="2">
        <v>31</v>
      </c>
      <c r="E26" s="5">
        <v>35000</v>
      </c>
      <c r="F26" s="6">
        <v>31000</v>
      </c>
      <c r="G26" s="4">
        <f t="shared" si="0"/>
        <v>4000</v>
      </c>
      <c r="H26" s="9">
        <v>25</v>
      </c>
      <c r="I26" s="10">
        <v>54000</v>
      </c>
      <c r="J26" s="10">
        <v>60000</v>
      </c>
      <c r="M26" s="26">
        <v>1</v>
      </c>
      <c r="N26" s="27"/>
      <c r="O26" s="27"/>
      <c r="P26" s="28"/>
      <c r="V26" s="17">
        <v>19</v>
      </c>
      <c r="W26" s="18">
        <v>2</v>
      </c>
      <c r="X26" s="18">
        <v>134000</v>
      </c>
      <c r="Y26" s="18">
        <v>67000</v>
      </c>
      <c r="Z26" s="19">
        <v>32000000</v>
      </c>
    </row>
    <row r="27" spans="1:26" x14ac:dyDescent="0.25">
      <c r="A27" s="2" t="s">
        <v>52</v>
      </c>
      <c r="B27" s="2" t="s">
        <v>53</v>
      </c>
      <c r="C27" s="2" t="s">
        <v>9</v>
      </c>
      <c r="D27" s="2">
        <v>51</v>
      </c>
      <c r="E27" s="5">
        <v>35000</v>
      </c>
      <c r="F27" s="6">
        <v>34000</v>
      </c>
      <c r="G27" s="4">
        <f t="shared" si="0"/>
        <v>1000</v>
      </c>
      <c r="H27" s="9">
        <v>26</v>
      </c>
      <c r="I27" s="10">
        <v>70000</v>
      </c>
      <c r="J27" s="10">
        <v>76000</v>
      </c>
      <c r="M27" s="17" t="s">
        <v>71</v>
      </c>
      <c r="N27" s="18">
        <v>35</v>
      </c>
      <c r="O27" s="18">
        <v>35</v>
      </c>
      <c r="P27" s="19">
        <v>70</v>
      </c>
      <c r="V27" s="17">
        <v>20</v>
      </c>
      <c r="W27" s="18">
        <v>2</v>
      </c>
      <c r="X27" s="18">
        <v>136000</v>
      </c>
      <c r="Y27" s="18">
        <v>68000</v>
      </c>
      <c r="Z27" s="19">
        <v>32000000</v>
      </c>
    </row>
    <row r="28" spans="1:26" x14ac:dyDescent="0.25">
      <c r="A28" s="2" t="s">
        <v>54</v>
      </c>
      <c r="B28" s="2" t="s">
        <v>55</v>
      </c>
      <c r="C28" s="2" t="s">
        <v>9</v>
      </c>
      <c r="D28" s="2">
        <v>52</v>
      </c>
      <c r="E28" s="3">
        <v>30000</v>
      </c>
      <c r="F28" s="4">
        <v>20000</v>
      </c>
      <c r="G28" s="4">
        <f t="shared" si="0"/>
        <v>10000</v>
      </c>
      <c r="H28" s="9">
        <v>27</v>
      </c>
      <c r="I28" s="10">
        <v>72000</v>
      </c>
      <c r="J28" s="10">
        <v>78000</v>
      </c>
      <c r="M28" s="17" t="s">
        <v>72</v>
      </c>
      <c r="N28" s="18">
        <v>1986000</v>
      </c>
      <c r="O28" s="18">
        <v>2210000</v>
      </c>
      <c r="P28" s="19">
        <v>4196000</v>
      </c>
      <c r="V28" s="17">
        <v>21</v>
      </c>
      <c r="W28" s="18">
        <v>2</v>
      </c>
      <c r="X28" s="18">
        <v>106000</v>
      </c>
      <c r="Y28" s="18">
        <v>53000</v>
      </c>
      <c r="Z28" s="19">
        <v>18000000</v>
      </c>
    </row>
    <row r="29" spans="1:26" x14ac:dyDescent="0.25">
      <c r="A29" s="2" t="s">
        <v>56</v>
      </c>
      <c r="B29" s="2" t="s">
        <v>57</v>
      </c>
      <c r="C29" s="2" t="s">
        <v>18</v>
      </c>
      <c r="D29" s="2">
        <v>41</v>
      </c>
      <c r="E29" s="3">
        <v>30000</v>
      </c>
      <c r="F29" s="4">
        <v>28000</v>
      </c>
      <c r="G29" s="4">
        <f t="shared" si="0"/>
        <v>2000</v>
      </c>
      <c r="H29" s="9">
        <v>28</v>
      </c>
      <c r="I29" s="10">
        <v>71000</v>
      </c>
      <c r="J29" s="10">
        <v>77000</v>
      </c>
      <c r="M29" s="17" t="s">
        <v>73</v>
      </c>
      <c r="N29" s="18">
        <v>56742.857142857145</v>
      </c>
      <c r="O29" s="18">
        <v>63142.857142857145</v>
      </c>
      <c r="P29" s="19">
        <v>59942.857142857145</v>
      </c>
      <c r="V29" s="17">
        <v>22</v>
      </c>
      <c r="W29" s="18">
        <v>2</v>
      </c>
      <c r="X29" s="18">
        <v>110000</v>
      </c>
      <c r="Y29" s="18">
        <v>55000</v>
      </c>
      <c r="Z29" s="19">
        <v>18000000</v>
      </c>
    </row>
    <row r="30" spans="1:26" x14ac:dyDescent="0.25">
      <c r="A30" s="2" t="s">
        <v>58</v>
      </c>
      <c r="B30" s="2" t="s">
        <v>46</v>
      </c>
      <c r="C30" s="2" t="s">
        <v>18</v>
      </c>
      <c r="D30" s="2">
        <v>30</v>
      </c>
      <c r="E30" s="5">
        <v>30000</v>
      </c>
      <c r="F30" s="6">
        <v>28000</v>
      </c>
      <c r="G30" s="4">
        <f t="shared" si="0"/>
        <v>2000</v>
      </c>
      <c r="H30" s="9">
        <v>29</v>
      </c>
      <c r="I30" s="10">
        <v>73000</v>
      </c>
      <c r="J30" s="10">
        <v>79000</v>
      </c>
      <c r="M30" s="20" t="s">
        <v>74</v>
      </c>
      <c r="N30" s="21">
        <v>101549579.83193296</v>
      </c>
      <c r="O30" s="21">
        <v>103067226.89075604</v>
      </c>
      <c r="P30" s="22">
        <v>111214078.67494842</v>
      </c>
      <c r="V30" s="17">
        <v>23</v>
      </c>
      <c r="W30" s="18">
        <v>2</v>
      </c>
      <c r="X30" s="18">
        <v>108000</v>
      </c>
      <c r="Y30" s="18">
        <v>54000</v>
      </c>
      <c r="Z30" s="19">
        <v>18000000</v>
      </c>
    </row>
    <row r="31" spans="1:26" x14ac:dyDescent="0.25">
      <c r="A31" s="2" t="s">
        <v>59</v>
      </c>
      <c r="B31" s="2" t="s">
        <v>33</v>
      </c>
      <c r="C31" s="2" t="s">
        <v>18</v>
      </c>
      <c r="D31" s="2">
        <v>50</v>
      </c>
      <c r="E31" s="3">
        <v>25500</v>
      </c>
      <c r="F31" s="4">
        <v>20000</v>
      </c>
      <c r="G31" s="4">
        <f t="shared" si="0"/>
        <v>5500</v>
      </c>
      <c r="H31" s="9">
        <v>30</v>
      </c>
      <c r="I31" s="10">
        <v>74000</v>
      </c>
      <c r="J31" s="10">
        <v>80000</v>
      </c>
      <c r="M31" s="8"/>
      <c r="N31" s="8"/>
      <c r="O31" s="8"/>
      <c r="P31" s="8"/>
      <c r="V31" s="17">
        <v>24</v>
      </c>
      <c r="W31" s="18">
        <v>2</v>
      </c>
      <c r="X31" s="18">
        <v>112000</v>
      </c>
      <c r="Y31" s="18">
        <v>56000</v>
      </c>
      <c r="Z31" s="19">
        <v>18000000</v>
      </c>
    </row>
    <row r="32" spans="1:26" x14ac:dyDescent="0.25">
      <c r="A32" s="2" t="s">
        <v>60</v>
      </c>
      <c r="B32" s="2" t="s">
        <v>61</v>
      </c>
      <c r="C32" s="2" t="s">
        <v>18</v>
      </c>
      <c r="D32" s="2">
        <v>37</v>
      </c>
      <c r="E32" s="3">
        <v>25200</v>
      </c>
      <c r="F32" s="4">
        <v>22000</v>
      </c>
      <c r="G32" s="4">
        <f t="shared" si="0"/>
        <v>3200</v>
      </c>
      <c r="H32" s="9">
        <v>31</v>
      </c>
      <c r="I32" s="10">
        <v>45000</v>
      </c>
      <c r="J32" s="10">
        <v>52000</v>
      </c>
      <c r="M32" s="29" t="s">
        <v>85</v>
      </c>
      <c r="N32" s="29"/>
      <c r="O32" s="29"/>
      <c r="V32" s="17">
        <v>25</v>
      </c>
      <c r="W32" s="18">
        <v>2</v>
      </c>
      <c r="X32" s="18">
        <v>114000</v>
      </c>
      <c r="Y32" s="18">
        <v>57000</v>
      </c>
      <c r="Z32" s="19">
        <v>18000000</v>
      </c>
    </row>
    <row r="33" spans="1:26" x14ac:dyDescent="0.25">
      <c r="A33" s="2" t="s">
        <v>62</v>
      </c>
      <c r="B33" s="2" t="s">
        <v>53</v>
      </c>
      <c r="C33" s="2" t="s">
        <v>9</v>
      </c>
      <c r="D33" s="2">
        <v>51</v>
      </c>
      <c r="E33" s="3">
        <v>25000</v>
      </c>
      <c r="F33" s="4">
        <v>20000</v>
      </c>
      <c r="G33" s="4">
        <f t="shared" si="0"/>
        <v>5000</v>
      </c>
      <c r="H33" s="9">
        <v>32</v>
      </c>
      <c r="I33" s="10">
        <v>47000</v>
      </c>
      <c r="J33" s="10">
        <v>54000</v>
      </c>
      <c r="M33" s="30" t="s">
        <v>71</v>
      </c>
      <c r="N33" s="18">
        <v>35</v>
      </c>
      <c r="O33" s="18">
        <v>35</v>
      </c>
      <c r="V33" s="17">
        <v>26</v>
      </c>
      <c r="W33" s="18">
        <v>2</v>
      </c>
      <c r="X33" s="18">
        <v>146000</v>
      </c>
      <c r="Y33" s="18">
        <v>73000</v>
      </c>
      <c r="Z33" s="19">
        <v>18000000</v>
      </c>
    </row>
    <row r="34" spans="1:26" x14ac:dyDescent="0.25">
      <c r="A34" s="2" t="s">
        <v>63</v>
      </c>
      <c r="B34" s="2" t="s">
        <v>64</v>
      </c>
      <c r="C34" s="2" t="s">
        <v>18</v>
      </c>
      <c r="D34" s="2">
        <v>36</v>
      </c>
      <c r="E34" s="3">
        <v>25000</v>
      </c>
      <c r="F34" s="4">
        <v>22000</v>
      </c>
      <c r="G34" s="4">
        <f t="shared" si="0"/>
        <v>3000</v>
      </c>
      <c r="H34" s="9">
        <v>33</v>
      </c>
      <c r="I34" s="10">
        <v>46000</v>
      </c>
      <c r="J34" s="10">
        <v>53000</v>
      </c>
      <c r="M34" s="30" t="s">
        <v>72</v>
      </c>
      <c r="N34" s="18">
        <v>1986000</v>
      </c>
      <c r="O34" s="18">
        <v>2210000</v>
      </c>
      <c r="V34" s="17">
        <v>27</v>
      </c>
      <c r="W34" s="18">
        <v>2</v>
      </c>
      <c r="X34" s="18">
        <v>150000</v>
      </c>
      <c r="Y34" s="18">
        <v>75000</v>
      </c>
      <c r="Z34" s="19">
        <v>18000000</v>
      </c>
    </row>
    <row r="35" spans="1:26" x14ac:dyDescent="0.25">
      <c r="A35" s="2" t="s">
        <v>65</v>
      </c>
      <c r="B35" s="2" t="s">
        <v>66</v>
      </c>
      <c r="C35" s="2" t="s">
        <v>9</v>
      </c>
      <c r="D35" s="2">
        <v>28</v>
      </c>
      <c r="E35" s="5">
        <v>25000</v>
      </c>
      <c r="F35" s="6">
        <v>24000</v>
      </c>
      <c r="G35" s="4">
        <f t="shared" si="0"/>
        <v>1000</v>
      </c>
      <c r="H35" s="9">
        <v>34</v>
      </c>
      <c r="I35" s="10">
        <v>48000</v>
      </c>
      <c r="J35" s="10">
        <v>55000</v>
      </c>
      <c r="M35" s="30" t="s">
        <v>73</v>
      </c>
      <c r="N35" s="18">
        <v>56742.857142857145</v>
      </c>
      <c r="O35" s="18">
        <v>63142.857142857145</v>
      </c>
      <c r="V35" s="17">
        <v>28</v>
      </c>
      <c r="W35" s="18">
        <v>2</v>
      </c>
      <c r="X35" s="18">
        <v>148000</v>
      </c>
      <c r="Y35" s="18">
        <v>74000</v>
      </c>
      <c r="Z35" s="19">
        <v>18000000</v>
      </c>
    </row>
    <row r="36" spans="1:26" x14ac:dyDescent="0.25">
      <c r="A36" s="2" t="s">
        <v>67</v>
      </c>
      <c r="B36" s="2" t="s">
        <v>66</v>
      </c>
      <c r="C36" s="2" t="s">
        <v>9</v>
      </c>
      <c r="D36" s="2">
        <v>25</v>
      </c>
      <c r="E36" s="3">
        <v>24100</v>
      </c>
      <c r="F36" s="4">
        <v>21000</v>
      </c>
      <c r="G36" s="4">
        <f t="shared" si="0"/>
        <v>3100</v>
      </c>
      <c r="H36" s="9">
        <v>35</v>
      </c>
      <c r="I36" s="10">
        <v>49000</v>
      </c>
      <c r="J36" s="10">
        <v>56000</v>
      </c>
      <c r="M36" s="30" t="s">
        <v>74</v>
      </c>
      <c r="N36" s="18">
        <v>101549579.83193296</v>
      </c>
      <c r="O36" s="18">
        <v>103067226.89075604</v>
      </c>
      <c r="V36" s="17">
        <v>29</v>
      </c>
      <c r="W36" s="18">
        <v>2</v>
      </c>
      <c r="X36" s="18">
        <v>152000</v>
      </c>
      <c r="Y36" s="18">
        <v>76000</v>
      </c>
      <c r="Z36" s="19">
        <v>18000000</v>
      </c>
    </row>
    <row r="37" spans="1:26" x14ac:dyDescent="0.25">
      <c r="M37" s="8"/>
      <c r="N37" s="8"/>
      <c r="O37" s="8"/>
      <c r="V37" s="17">
        <v>30</v>
      </c>
      <c r="W37" s="18">
        <v>2</v>
      </c>
      <c r="X37" s="18">
        <v>154000</v>
      </c>
      <c r="Y37" s="18">
        <v>77000</v>
      </c>
      <c r="Z37" s="19">
        <v>18000000</v>
      </c>
    </row>
    <row r="38" spans="1:26" x14ac:dyDescent="0.25">
      <c r="V38" s="17">
        <v>31</v>
      </c>
      <c r="W38" s="18">
        <v>2</v>
      </c>
      <c r="X38" s="18">
        <v>97000</v>
      </c>
      <c r="Y38" s="18">
        <v>48500</v>
      </c>
      <c r="Z38" s="19">
        <v>24500000</v>
      </c>
    </row>
    <row r="39" spans="1:26" x14ac:dyDescent="0.25">
      <c r="M39" t="s">
        <v>75</v>
      </c>
      <c r="V39" s="17">
        <v>32</v>
      </c>
      <c r="W39" s="18">
        <v>2</v>
      </c>
      <c r="X39" s="18">
        <v>101000</v>
      </c>
      <c r="Y39" s="18">
        <v>50500</v>
      </c>
      <c r="Z39" s="19">
        <v>24500000</v>
      </c>
    </row>
    <row r="40" spans="1:26" x14ac:dyDescent="0.25">
      <c r="M40" s="14" t="s">
        <v>76</v>
      </c>
      <c r="N40" s="15" t="s">
        <v>77</v>
      </c>
      <c r="O40" s="15" t="s">
        <v>78</v>
      </c>
      <c r="P40" s="15" t="s">
        <v>79</v>
      </c>
      <c r="Q40" s="15" t="s">
        <v>80</v>
      </c>
      <c r="R40" s="15" t="s">
        <v>81</v>
      </c>
      <c r="S40" s="16" t="s">
        <v>82</v>
      </c>
      <c r="V40" s="17">
        <v>33</v>
      </c>
      <c r="W40" s="18">
        <v>2</v>
      </c>
      <c r="X40" s="18">
        <v>99000</v>
      </c>
      <c r="Y40" s="18">
        <v>49500</v>
      </c>
      <c r="Z40" s="19">
        <v>24500000</v>
      </c>
    </row>
    <row r="41" spans="1:26" x14ac:dyDescent="0.25">
      <c r="M41" s="17" t="s">
        <v>87</v>
      </c>
      <c r="N41" s="18">
        <v>0</v>
      </c>
      <c r="O41" s="18">
        <v>0</v>
      </c>
      <c r="P41" s="18">
        <v>65535</v>
      </c>
      <c r="Q41" s="18">
        <v>65535</v>
      </c>
      <c r="R41" s="18" t="e">
        <v>#NUM!</v>
      </c>
      <c r="S41" s="19" t="e">
        <v>#NUM!</v>
      </c>
      <c r="V41" s="17">
        <v>34</v>
      </c>
      <c r="W41" s="18">
        <v>2</v>
      </c>
      <c r="X41" s="18">
        <v>103000</v>
      </c>
      <c r="Y41" s="18">
        <v>51500</v>
      </c>
      <c r="Z41" s="19">
        <v>24500000</v>
      </c>
    </row>
    <row r="42" spans="1:26" x14ac:dyDescent="0.25">
      <c r="M42" s="17" t="s">
        <v>88</v>
      </c>
      <c r="N42" s="18">
        <v>716800000</v>
      </c>
      <c r="O42" s="18">
        <v>1</v>
      </c>
      <c r="P42" s="18">
        <v>716800000</v>
      </c>
      <c r="Q42" s="18">
        <v>7.0062670948770815</v>
      </c>
      <c r="R42" s="18">
        <v>1.0084550290100148E-2</v>
      </c>
      <c r="S42" s="19">
        <v>3.9818962563017628</v>
      </c>
      <c r="V42" s="17">
        <v>35</v>
      </c>
      <c r="W42" s="18">
        <v>2</v>
      </c>
      <c r="X42" s="18">
        <v>105000</v>
      </c>
      <c r="Y42" s="18">
        <v>52500</v>
      </c>
      <c r="Z42" s="19">
        <v>24500000</v>
      </c>
    </row>
    <row r="43" spans="1:26" x14ac:dyDescent="0.25">
      <c r="M43" s="17" t="s">
        <v>89</v>
      </c>
      <c r="N43" s="18">
        <v>0</v>
      </c>
      <c r="O43" s="18">
        <v>0</v>
      </c>
      <c r="P43" s="18">
        <v>65535</v>
      </c>
      <c r="Q43" s="18">
        <v>65535</v>
      </c>
      <c r="R43" s="18" t="e">
        <v>#NUM!</v>
      </c>
      <c r="S43" s="19" t="e">
        <v>#NUM!</v>
      </c>
      <c r="V43" s="17"/>
      <c r="W43" s="18"/>
      <c r="X43" s="18"/>
      <c r="Y43" s="18"/>
      <c r="Z43" s="19"/>
    </row>
    <row r="44" spans="1:26" x14ac:dyDescent="0.25">
      <c r="M44" s="17" t="s">
        <v>90</v>
      </c>
      <c r="N44" s="18">
        <v>6956971428.5714283</v>
      </c>
      <c r="O44" s="18">
        <v>68</v>
      </c>
      <c r="P44" s="18">
        <v>102308403.36134453</v>
      </c>
      <c r="Q44" s="18"/>
      <c r="R44" s="18"/>
      <c r="S44" s="19"/>
      <c r="V44" s="17" t="s">
        <v>18</v>
      </c>
      <c r="W44" s="18">
        <v>35</v>
      </c>
      <c r="X44" s="18">
        <v>1986000</v>
      </c>
      <c r="Y44" s="18">
        <v>56742.857142857145</v>
      </c>
      <c r="Z44" s="19">
        <v>101549579.83193296</v>
      </c>
    </row>
    <row r="45" spans="1:26" x14ac:dyDescent="0.25">
      <c r="M45" s="17"/>
      <c r="N45" s="18"/>
      <c r="O45" s="18"/>
      <c r="P45" s="18"/>
      <c r="Q45" s="18"/>
      <c r="R45" s="18"/>
      <c r="S45" s="19"/>
      <c r="V45" s="20" t="s">
        <v>9</v>
      </c>
      <c r="W45" s="21">
        <v>35</v>
      </c>
      <c r="X45" s="21">
        <v>2210000</v>
      </c>
      <c r="Y45" s="21">
        <v>63142.857142857145</v>
      </c>
      <c r="Z45" s="22">
        <v>103067226.89075604</v>
      </c>
    </row>
    <row r="46" spans="1:26" x14ac:dyDescent="0.25">
      <c r="M46" s="20" t="s">
        <v>85</v>
      </c>
      <c r="N46" s="21">
        <v>7673771428.5714283</v>
      </c>
      <c r="O46" s="21">
        <v>69</v>
      </c>
      <c r="P46" s="21"/>
      <c r="Q46" s="21"/>
      <c r="R46" s="21"/>
      <c r="S46" s="22"/>
    </row>
    <row r="48" spans="1:26" x14ac:dyDescent="0.25">
      <c r="V48" t="s">
        <v>75</v>
      </c>
    </row>
    <row r="49" spans="22:28" x14ac:dyDescent="0.25">
      <c r="V49" s="14" t="s">
        <v>76</v>
      </c>
      <c r="W49" s="15" t="s">
        <v>77</v>
      </c>
      <c r="X49" s="15" t="s">
        <v>78</v>
      </c>
      <c r="Y49" s="15" t="s">
        <v>79</v>
      </c>
      <c r="Z49" s="15" t="s">
        <v>80</v>
      </c>
      <c r="AA49" s="15" t="s">
        <v>81</v>
      </c>
      <c r="AB49" s="16" t="s">
        <v>82</v>
      </c>
    </row>
    <row r="50" spans="22:28" x14ac:dyDescent="0.25">
      <c r="V50" s="17" t="s">
        <v>92</v>
      </c>
      <c r="W50" s="18">
        <v>6925771428.5714283</v>
      </c>
      <c r="X50" s="18">
        <v>34</v>
      </c>
      <c r="Y50" s="18">
        <v>203699159.66386554</v>
      </c>
      <c r="Z50" s="18">
        <v>221.97985347985346</v>
      </c>
      <c r="AA50" s="18">
        <v>1.3091538175328058E-31</v>
      </c>
      <c r="AB50" s="19">
        <v>1.7720664771705754</v>
      </c>
    </row>
    <row r="51" spans="22:28" x14ac:dyDescent="0.25">
      <c r="V51" s="17" t="s">
        <v>88</v>
      </c>
      <c r="W51" s="18">
        <v>716800000</v>
      </c>
      <c r="X51" s="18">
        <v>1</v>
      </c>
      <c r="Y51" s="18">
        <v>716800000</v>
      </c>
      <c r="Z51" s="18">
        <v>781.1282051282052</v>
      </c>
      <c r="AA51" s="18">
        <v>4.8532966739097556E-25</v>
      </c>
      <c r="AB51" s="19">
        <v>4.1300177456520188</v>
      </c>
    </row>
    <row r="52" spans="22:28" x14ac:dyDescent="0.25">
      <c r="V52" s="17" t="s">
        <v>93</v>
      </c>
      <c r="W52" s="18">
        <v>31200000</v>
      </c>
      <c r="X52" s="18">
        <v>34</v>
      </c>
      <c r="Y52" s="18">
        <v>917647.0588235294</v>
      </c>
      <c r="Z52" s="18"/>
      <c r="AA52" s="18"/>
      <c r="AB52" s="19"/>
    </row>
    <row r="53" spans="22:28" x14ac:dyDescent="0.25">
      <c r="V53" s="17"/>
      <c r="W53" s="18"/>
      <c r="X53" s="18"/>
      <c r="Y53" s="18"/>
      <c r="Z53" s="18"/>
      <c r="AA53" s="18"/>
      <c r="AB53" s="19"/>
    </row>
    <row r="54" spans="22:28" x14ac:dyDescent="0.25">
      <c r="V54" s="20" t="s">
        <v>85</v>
      </c>
      <c r="W54" s="21">
        <v>7673771428.5714283</v>
      </c>
      <c r="X54" s="21">
        <v>69</v>
      </c>
      <c r="Y54" s="21"/>
      <c r="Z54" s="21"/>
      <c r="AA54" s="21"/>
      <c r="AB54" s="22"/>
    </row>
  </sheetData>
  <mergeCells count="3">
    <mergeCell ref="M6:O6"/>
    <mergeCell ref="M23:O23"/>
    <mergeCell ref="V5:Z5"/>
  </mergeCells>
  <conditionalFormatting sqref="E1:E3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</dc:creator>
  <cp:lastModifiedBy>MITS</cp:lastModifiedBy>
  <dcterms:created xsi:type="dcterms:W3CDTF">2023-09-02T13:45:58Z</dcterms:created>
  <dcterms:modified xsi:type="dcterms:W3CDTF">2026-06-06T05:00:01Z</dcterms:modified>
</cp:coreProperties>
</file>