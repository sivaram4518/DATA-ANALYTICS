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3020a21a007a6021/Desktop/"/>
    </mc:Choice>
  </mc:AlternateContent>
  <xr:revisionPtr revIDLastSave="670" documentId="8_{F8CB6240-8353-40B8-8739-927757C609E6}" xr6:coauthVersionLast="47" xr6:coauthVersionMax="47" xr10:uidLastSave="{D7AEAAA4-5E10-407C-A0B0-EA9A60A581FE}"/>
  <bookViews>
    <workbookView xWindow="-108" yWindow="-108" windowWidth="23256" windowHeight="12456" xr2:uid="{AA9606B1-01E9-4314-ACA0-2DC169BF080F}"/>
  </bookViews>
  <sheets>
    <sheet name="Sheet3" sheetId="3" r:id="rId1"/>
    <sheet name="Sheet1" sheetId="1" r:id="rId2"/>
  </sheets>
  <definedNames>
    <definedName name="Slicer_Cost_Bins">#N/A</definedName>
    <definedName name="Slicer_Product">#N/A</definedName>
    <definedName name="Slicer_Profit_Bins">#N/A</definedName>
    <definedName name="Slicer_Region">#N/A</definedName>
    <definedName name="Slicer_Sales_Bins">#N/A</definedName>
    <definedName name="Slicer_Salesperson">#N/A</definedName>
  </definedNames>
  <calcPr calcId="191029"/>
  <pivotCaches>
    <pivotCache cacheId="19" r:id="rId3"/>
  </pivotCaches>
  <extLst>
    <ext xmlns:x14="http://schemas.microsoft.com/office/spreadsheetml/2009/9/main" uri="{BBE1A952-AA13-448e-AADC-164F8A28A991}">
      <x14:slicerCaches>
        <x14:slicerCache r:id="rId4"/>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6" i="1" l="1"/>
  <c r="L13" i="1"/>
  <c r="L10" i="1"/>
  <c r="L7" i="1"/>
  <c r="L4"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2" i="1"/>
  <c r="I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alcChain>
</file>

<file path=xl/sharedStrings.xml><?xml version="1.0" encoding="utf-8"?>
<sst xmlns="http://schemas.openxmlformats.org/spreadsheetml/2006/main" count="139" uniqueCount="32">
  <si>
    <t>Date</t>
  </si>
  <si>
    <t>Product</t>
  </si>
  <si>
    <t>Region</t>
  </si>
  <si>
    <t>Salesperson</t>
  </si>
  <si>
    <t>Quantity</t>
  </si>
  <si>
    <t>Sales</t>
  </si>
  <si>
    <t>Profit</t>
  </si>
  <si>
    <t>Laptop</t>
  </si>
  <si>
    <t>North</t>
  </si>
  <si>
    <t>Ravi</t>
  </si>
  <si>
    <t>Mobile</t>
  </si>
  <si>
    <t>South</t>
  </si>
  <si>
    <t>Priya</t>
  </si>
  <si>
    <t>Tablet</t>
  </si>
  <si>
    <t>East</t>
  </si>
  <si>
    <t>Kiran</t>
  </si>
  <si>
    <t>West</t>
  </si>
  <si>
    <t>Anjali</t>
  </si>
  <si>
    <t>Cost</t>
  </si>
  <si>
    <t>Row Labels</t>
  </si>
  <si>
    <t>Sum of Profit</t>
  </si>
  <si>
    <t>Grand Total</t>
  </si>
  <si>
    <t>Sum of Sales</t>
  </si>
  <si>
    <t>Sum of Cost</t>
  </si>
  <si>
    <t>Cost Bins</t>
  </si>
  <si>
    <t>Profit Bins</t>
  </si>
  <si>
    <t>Sales Bins</t>
  </si>
  <si>
    <t>TOTAL COST</t>
  </si>
  <si>
    <t>TOTAL PROFIT</t>
  </si>
  <si>
    <t>TOTAL SALES</t>
  </si>
  <si>
    <t>TOP REGION</t>
  </si>
  <si>
    <t>TOP PROFIT SALESPERSON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</si>
</sst>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quot;₹&quot;\ #,##0.00"/>
  </numFmts>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center" vertical="center" wrapText="1"/>
    </xf>
    <xf numFmtId="15" fontId="0" fillId="0" borderId="0" xfId="0" applyNumberFormat="1" applyAlignment="1">
      <alignment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1" fillId="0" borderId="0" xfId="0" applyFont="1"/>
    <xf numFmtId="0" fontId="0" fillId="2" borderId="0" xfId="0" applyFill="1"/>
    <xf numFmtId="0" fontId="0" fillId="3" borderId="0" xfId="0" applyFill="1"/>
    <xf numFmtId="0" fontId="0" fillId="4" borderId="0" xfId="0" applyFill="1"/>
    <xf numFmtId="169" fontId="0" fillId="0" borderId="0" xfId="0" applyNumberFormat="1"/>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openxmlformats.org/officeDocument/2006/relationships/calcChain" Target="calcChain.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0" Type="http://schemas.openxmlformats.org/officeDocument/2006/relationships/theme" Target="theme/theme1.xml"/><Relationship Id="rId4" Type="http://schemas.microsoft.com/office/2007/relationships/slicerCache" Target="slicerCaches/slicerCache1.xml"/><Relationship Id="rId9"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DASHBOARD.xlsx]Sheet3!PivotTable5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East</c:v>
                </c:pt>
                <c:pt idx="1">
                  <c:v>North</c:v>
                </c:pt>
                <c:pt idx="2">
                  <c:v>South</c:v>
                </c:pt>
                <c:pt idx="3">
                  <c:v>West</c:v>
                </c:pt>
              </c:strCache>
            </c:strRef>
          </c:cat>
          <c:val>
            <c:numRef>
              <c:f>Sheet3!$B$4:$B$8</c:f>
              <c:numCache>
                <c:formatCode>General</c:formatCode>
                <c:ptCount val="4"/>
                <c:pt idx="0">
                  <c:v>78000</c:v>
                </c:pt>
                <c:pt idx="1">
                  <c:v>115000</c:v>
                </c:pt>
                <c:pt idx="2">
                  <c:v>100000</c:v>
                </c:pt>
                <c:pt idx="3">
                  <c:v>91000</c:v>
                </c:pt>
              </c:numCache>
            </c:numRef>
          </c:val>
          <c:extLst>
            <c:ext xmlns:c16="http://schemas.microsoft.com/office/drawing/2014/chart" uri="{C3380CC4-5D6E-409C-BE32-E72D297353CC}">
              <c16:uniqueId val="{00000000-F1E9-495A-9480-23D9789AFEFB}"/>
            </c:ext>
          </c:extLst>
        </c:ser>
        <c:dLbls>
          <c:showLegendKey val="0"/>
          <c:showVal val="1"/>
          <c:showCatName val="0"/>
          <c:showSerName val="0"/>
          <c:showPercent val="0"/>
          <c:showBubbleSize val="0"/>
        </c:dLbls>
        <c:gapWidth val="150"/>
        <c:shape val="box"/>
        <c:axId val="1062053552"/>
        <c:axId val="1062054032"/>
        <c:axId val="0"/>
      </c:bar3DChart>
      <c:catAx>
        <c:axId val="1062053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054032"/>
        <c:crosses val="autoZero"/>
        <c:auto val="1"/>
        <c:lblAlgn val="ctr"/>
        <c:lblOffset val="100"/>
        <c:noMultiLvlLbl val="0"/>
      </c:catAx>
      <c:valAx>
        <c:axId val="106205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05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9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DASHBOARD.xlsx]Sheet3!PivotTable6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Sheet3!$B$19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Sheet3!$A$20:$A$24</c:f>
              <c:strCache>
                <c:ptCount val="4"/>
                <c:pt idx="0">
                  <c:v>East</c:v>
                </c:pt>
                <c:pt idx="1">
                  <c:v>North</c:v>
                </c:pt>
                <c:pt idx="2">
                  <c:v>South</c:v>
                </c:pt>
                <c:pt idx="3">
                  <c:v>West</c:v>
                </c:pt>
              </c:strCache>
            </c:strRef>
          </c:cat>
          <c:val>
            <c:numRef>
              <c:f>Sheet3!$B$20:$B$24</c:f>
              <c:numCache>
                <c:formatCode>General</c:formatCode>
                <c:ptCount val="4"/>
                <c:pt idx="0">
                  <c:v>505000</c:v>
                </c:pt>
                <c:pt idx="1">
                  <c:v>745000</c:v>
                </c:pt>
                <c:pt idx="2">
                  <c:v>625000</c:v>
                </c:pt>
                <c:pt idx="3">
                  <c:v>605000</c:v>
                </c:pt>
              </c:numCache>
            </c:numRef>
          </c:val>
          <c:extLst>
            <c:ext xmlns:c16="http://schemas.microsoft.com/office/drawing/2014/chart" uri="{C3380CC4-5D6E-409C-BE32-E72D297353CC}">
              <c16:uniqueId val="{00000000-1D59-41E2-ABD8-71B17CCFCBD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9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DASHBOARD.xlsx]Sheet3!PivotTable7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Sheet3!$B$35</c:f>
              <c:strCache>
                <c:ptCount val="1"/>
                <c:pt idx="0">
                  <c:v>Total</c:v>
                </c:pt>
              </c:strCache>
            </c:strRef>
          </c:tx>
          <c:spPr>
            <a:solidFill>
              <a:schemeClr val="accent1"/>
            </a:solidFill>
            <a:ln>
              <a:noFill/>
            </a:ln>
            <a:effectLst/>
            <a:sp3d/>
          </c:spPr>
          <c:invertIfNegative val="0"/>
          <c:cat>
            <c:strRef>
              <c:f>Sheet3!$A$36:$A$40</c:f>
              <c:strCache>
                <c:ptCount val="4"/>
                <c:pt idx="0">
                  <c:v>Anjali</c:v>
                </c:pt>
                <c:pt idx="1">
                  <c:v>Kiran</c:v>
                </c:pt>
                <c:pt idx="2">
                  <c:v>Priya</c:v>
                </c:pt>
                <c:pt idx="3">
                  <c:v>Ravi</c:v>
                </c:pt>
              </c:strCache>
            </c:strRef>
          </c:cat>
          <c:val>
            <c:numRef>
              <c:f>Sheet3!$B$36:$B$40</c:f>
              <c:numCache>
                <c:formatCode>General</c:formatCode>
                <c:ptCount val="4"/>
                <c:pt idx="0">
                  <c:v>605000</c:v>
                </c:pt>
                <c:pt idx="1">
                  <c:v>505000</c:v>
                </c:pt>
                <c:pt idx="2">
                  <c:v>625000</c:v>
                </c:pt>
                <c:pt idx="3">
                  <c:v>745000</c:v>
                </c:pt>
              </c:numCache>
            </c:numRef>
          </c:val>
          <c:extLst>
            <c:ext xmlns:c16="http://schemas.microsoft.com/office/drawing/2014/chart" uri="{C3380CC4-5D6E-409C-BE32-E72D297353CC}">
              <c16:uniqueId val="{00000000-3A5F-434A-A082-F172AF964E59}"/>
            </c:ext>
          </c:extLst>
        </c:ser>
        <c:dLbls>
          <c:showLegendKey val="0"/>
          <c:showVal val="0"/>
          <c:showCatName val="0"/>
          <c:showSerName val="0"/>
          <c:showPercent val="0"/>
          <c:showBubbleSize val="0"/>
        </c:dLbls>
        <c:gapWidth val="150"/>
        <c:shape val="box"/>
        <c:axId val="1066507664"/>
        <c:axId val="1066505264"/>
        <c:axId val="0"/>
      </c:bar3DChart>
      <c:catAx>
        <c:axId val="1066507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505264"/>
        <c:crosses val="autoZero"/>
        <c:auto val="1"/>
        <c:lblAlgn val="ctr"/>
        <c:lblOffset val="100"/>
        <c:noMultiLvlLbl val="0"/>
      </c:catAx>
      <c:valAx>
        <c:axId val="1066505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50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DASHBOARD.xlsx]Sheet3!PivotTable8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Sheet3!$B$52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Sheet3!$A$53:$A$56</c:f>
              <c:strCache>
                <c:ptCount val="3"/>
                <c:pt idx="0">
                  <c:v>Laptop</c:v>
                </c:pt>
                <c:pt idx="1">
                  <c:v>Mobile</c:v>
                </c:pt>
                <c:pt idx="2">
                  <c:v>Tablet</c:v>
                </c:pt>
              </c:strCache>
            </c:strRef>
          </c:cat>
          <c:val>
            <c:numRef>
              <c:f>Sheet3!$B$53:$B$56</c:f>
              <c:numCache>
                <c:formatCode>General</c:formatCode>
                <c:ptCount val="3"/>
                <c:pt idx="0">
                  <c:v>1060000</c:v>
                </c:pt>
                <c:pt idx="1">
                  <c:v>569000</c:v>
                </c:pt>
                <c:pt idx="2">
                  <c:v>467000</c:v>
                </c:pt>
              </c:numCache>
            </c:numRef>
          </c:val>
          <c:extLst>
            <c:ext xmlns:c16="http://schemas.microsoft.com/office/drawing/2014/chart" uri="{C3380CC4-5D6E-409C-BE32-E72D297353CC}">
              <c16:uniqueId val="{00000000-5BEF-4629-93FB-9C73E1467B9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DASHBOARD.xlsx]Sheet3!PivotTable9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Sheet3!$B$68</c:f>
              <c:strCache>
                <c:ptCount val="1"/>
                <c:pt idx="0">
                  <c:v>Total</c:v>
                </c:pt>
              </c:strCache>
            </c:strRef>
          </c:tx>
          <c:spPr>
            <a:ln w="28575" cap="rnd">
              <a:solidFill>
                <a:schemeClr val="accent1"/>
              </a:solidFill>
              <a:round/>
            </a:ln>
            <a:effectLst/>
          </c:spPr>
          <c:marker>
            <c:symbol val="none"/>
          </c:marker>
          <c:cat>
            <c:strRef>
              <c:f>Sheet3!$A$69:$A$72</c:f>
              <c:strCache>
                <c:ptCount val="3"/>
                <c:pt idx="0">
                  <c:v>Laptop</c:v>
                </c:pt>
                <c:pt idx="1">
                  <c:v>Mobile</c:v>
                </c:pt>
                <c:pt idx="2">
                  <c:v>Tablet</c:v>
                </c:pt>
              </c:strCache>
            </c:strRef>
          </c:cat>
          <c:val>
            <c:numRef>
              <c:f>Sheet3!$B$69:$B$72</c:f>
              <c:numCache>
                <c:formatCode>General</c:formatCode>
                <c:ptCount val="3"/>
                <c:pt idx="0">
                  <c:v>1250000</c:v>
                </c:pt>
                <c:pt idx="1">
                  <c:v>675000</c:v>
                </c:pt>
                <c:pt idx="2">
                  <c:v>555000</c:v>
                </c:pt>
              </c:numCache>
            </c:numRef>
          </c:val>
          <c:smooth val="0"/>
          <c:extLst>
            <c:ext xmlns:c16="http://schemas.microsoft.com/office/drawing/2014/chart" uri="{C3380CC4-5D6E-409C-BE32-E72D297353CC}">
              <c16:uniqueId val="{00000000-1FB3-4327-9B10-E13740C137E4}"/>
            </c:ext>
          </c:extLst>
        </c:ser>
        <c:dLbls>
          <c:showLegendKey val="0"/>
          <c:showVal val="0"/>
          <c:showCatName val="0"/>
          <c:showSerName val="0"/>
          <c:showPercent val="0"/>
          <c:showBubbleSize val="0"/>
        </c:dLbls>
        <c:smooth val="0"/>
        <c:axId val="11626800"/>
        <c:axId val="11628240"/>
      </c:lineChart>
      <c:catAx>
        <c:axId val="1162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8240"/>
        <c:crosses val="autoZero"/>
        <c:auto val="1"/>
        <c:lblAlgn val="ctr"/>
        <c:lblOffset val="100"/>
        <c:noMultiLvlLbl val="0"/>
      </c:catAx>
      <c:valAx>
        <c:axId val="11628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DASHBOARD.xlsx]Sheet3!PivotTable5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Profit</a:t>
            </a:r>
          </a:p>
        </c:rich>
      </c:tx>
      <c:layout>
        <c:manualLayout>
          <c:xMode val="edge"/>
          <c:yMode val="edge"/>
          <c:x val="0.36179616223595851"/>
          <c:y val="5.057331543234515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Sheet3!$A$4:$A$8</c:f>
              <c:strCache>
                <c:ptCount val="4"/>
                <c:pt idx="0">
                  <c:v>East</c:v>
                </c:pt>
                <c:pt idx="1">
                  <c:v>North</c:v>
                </c:pt>
                <c:pt idx="2">
                  <c:v>South</c:v>
                </c:pt>
                <c:pt idx="3">
                  <c:v>West</c:v>
                </c:pt>
              </c:strCache>
            </c:strRef>
          </c:cat>
          <c:val>
            <c:numRef>
              <c:f>Sheet3!$B$4:$B$8</c:f>
              <c:numCache>
                <c:formatCode>General</c:formatCode>
                <c:ptCount val="4"/>
                <c:pt idx="0">
                  <c:v>78000</c:v>
                </c:pt>
                <c:pt idx="1">
                  <c:v>115000</c:v>
                </c:pt>
                <c:pt idx="2">
                  <c:v>100000</c:v>
                </c:pt>
                <c:pt idx="3">
                  <c:v>91000</c:v>
                </c:pt>
              </c:numCache>
            </c:numRef>
          </c:val>
          <c:extLst>
            <c:ext xmlns:c16="http://schemas.microsoft.com/office/drawing/2014/chart" uri="{C3380CC4-5D6E-409C-BE32-E72D297353CC}">
              <c16:uniqueId val="{00000000-5095-4A3F-8314-587E90114E21}"/>
            </c:ext>
          </c:extLst>
        </c:ser>
        <c:dLbls>
          <c:showLegendKey val="0"/>
          <c:showVal val="1"/>
          <c:showCatName val="0"/>
          <c:showSerName val="0"/>
          <c:showPercent val="0"/>
          <c:showBubbleSize val="0"/>
        </c:dLbls>
        <c:gapWidth val="150"/>
        <c:shape val="box"/>
        <c:axId val="1062053552"/>
        <c:axId val="1062054032"/>
        <c:axId val="0"/>
      </c:bar3DChart>
      <c:catAx>
        <c:axId val="1062053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2054032"/>
        <c:crosses val="autoZero"/>
        <c:auto val="1"/>
        <c:lblAlgn val="ctr"/>
        <c:lblOffset val="100"/>
        <c:noMultiLvlLbl val="0"/>
      </c:catAx>
      <c:valAx>
        <c:axId val="106205403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205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DASHBOARD.xlsx]Sheet3!PivotTable6</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layout>
        <c:manualLayout>
          <c:xMode val="edge"/>
          <c:yMode val="edge"/>
          <c:x val="0.26143609344419177"/>
          <c:y val="9.034079306052879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Sheet3!$B$19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4B8-4CFE-9517-0A7DB9F6CCB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4B8-4CFE-9517-0A7DB9F6CCB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4B8-4CFE-9517-0A7DB9F6CCB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4B8-4CFE-9517-0A7DB9F6CC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Sheet3!$A$20:$A$24</c:f>
              <c:strCache>
                <c:ptCount val="4"/>
                <c:pt idx="0">
                  <c:v>East</c:v>
                </c:pt>
                <c:pt idx="1">
                  <c:v>North</c:v>
                </c:pt>
                <c:pt idx="2">
                  <c:v>South</c:v>
                </c:pt>
                <c:pt idx="3">
                  <c:v>West</c:v>
                </c:pt>
              </c:strCache>
            </c:strRef>
          </c:cat>
          <c:val>
            <c:numRef>
              <c:f>Sheet3!$B$20:$B$24</c:f>
              <c:numCache>
                <c:formatCode>General</c:formatCode>
                <c:ptCount val="4"/>
                <c:pt idx="0">
                  <c:v>505000</c:v>
                </c:pt>
                <c:pt idx="1">
                  <c:v>745000</c:v>
                </c:pt>
                <c:pt idx="2">
                  <c:v>625000</c:v>
                </c:pt>
                <c:pt idx="3">
                  <c:v>605000</c:v>
                </c:pt>
              </c:numCache>
            </c:numRef>
          </c:val>
          <c:extLst>
            <c:ext xmlns:c16="http://schemas.microsoft.com/office/drawing/2014/chart" uri="{C3380CC4-5D6E-409C-BE32-E72D297353CC}">
              <c16:uniqueId val="{00000008-D4B8-4CFE-9517-0A7DB9F6CCBE}"/>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DASHBOARD.xlsx]Sheet3!PivotTable7</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SALESPERSON</a:t>
            </a:r>
            <a:endParaRPr lang="en-US"/>
          </a:p>
        </c:rich>
      </c:tx>
      <c:layout>
        <c:manualLayout>
          <c:xMode val="edge"/>
          <c:yMode val="edge"/>
          <c:x val="0.16183278335484472"/>
          <c:y val="0.1297065325277784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Sheet3!$B$35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Sheet3!$A$36:$A$40</c:f>
              <c:strCache>
                <c:ptCount val="4"/>
                <c:pt idx="0">
                  <c:v>Anjali</c:v>
                </c:pt>
                <c:pt idx="1">
                  <c:v>Kiran</c:v>
                </c:pt>
                <c:pt idx="2">
                  <c:v>Priya</c:v>
                </c:pt>
                <c:pt idx="3">
                  <c:v>Ravi</c:v>
                </c:pt>
              </c:strCache>
            </c:strRef>
          </c:cat>
          <c:val>
            <c:numRef>
              <c:f>Sheet3!$B$36:$B$40</c:f>
              <c:numCache>
                <c:formatCode>General</c:formatCode>
                <c:ptCount val="4"/>
                <c:pt idx="0">
                  <c:v>605000</c:v>
                </c:pt>
                <c:pt idx="1">
                  <c:v>505000</c:v>
                </c:pt>
                <c:pt idx="2">
                  <c:v>625000</c:v>
                </c:pt>
                <c:pt idx="3">
                  <c:v>745000</c:v>
                </c:pt>
              </c:numCache>
            </c:numRef>
          </c:val>
          <c:extLst>
            <c:ext xmlns:c16="http://schemas.microsoft.com/office/drawing/2014/chart" uri="{C3380CC4-5D6E-409C-BE32-E72D297353CC}">
              <c16:uniqueId val="{00000000-A205-4EC9-9432-EA667A2F85FF}"/>
            </c:ext>
          </c:extLst>
        </c:ser>
        <c:dLbls>
          <c:showLegendKey val="0"/>
          <c:showVal val="0"/>
          <c:showCatName val="0"/>
          <c:showSerName val="0"/>
          <c:showPercent val="0"/>
          <c:showBubbleSize val="0"/>
        </c:dLbls>
        <c:gapWidth val="150"/>
        <c:shape val="box"/>
        <c:axId val="1066507664"/>
        <c:axId val="1066505264"/>
        <c:axId val="0"/>
      </c:bar3DChart>
      <c:catAx>
        <c:axId val="1066507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6505264"/>
        <c:crosses val="autoZero"/>
        <c:auto val="1"/>
        <c:lblAlgn val="ctr"/>
        <c:lblOffset val="100"/>
        <c:noMultiLvlLbl val="0"/>
      </c:catAx>
      <c:valAx>
        <c:axId val="1066505264"/>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650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DASHBOARD.xlsx]Sheet3!PivotTable8</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COST OF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Sheet3!$B$52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F97-4608-AA04-B8F69ECC693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F97-4608-AA04-B8F69ECC693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F97-4608-AA04-B8F69ECC69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Sheet3!$A$53:$A$56</c:f>
              <c:strCache>
                <c:ptCount val="3"/>
                <c:pt idx="0">
                  <c:v>Laptop</c:v>
                </c:pt>
                <c:pt idx="1">
                  <c:v>Mobile</c:v>
                </c:pt>
                <c:pt idx="2">
                  <c:v>Tablet</c:v>
                </c:pt>
              </c:strCache>
            </c:strRef>
          </c:cat>
          <c:val>
            <c:numRef>
              <c:f>Sheet3!$B$53:$B$56</c:f>
              <c:numCache>
                <c:formatCode>General</c:formatCode>
                <c:ptCount val="3"/>
                <c:pt idx="0">
                  <c:v>1060000</c:v>
                </c:pt>
                <c:pt idx="1">
                  <c:v>569000</c:v>
                </c:pt>
                <c:pt idx="2">
                  <c:v>467000</c:v>
                </c:pt>
              </c:numCache>
            </c:numRef>
          </c:val>
          <c:extLst>
            <c:ext xmlns:c16="http://schemas.microsoft.com/office/drawing/2014/chart" uri="{C3380CC4-5D6E-409C-BE32-E72D297353CC}">
              <c16:uniqueId val="{00000006-BF97-4608-AA04-B8F69ECC693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DASHBOARD.xlsx]Sheet3!PivotTable9</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a:t>
            </a:r>
            <a:r>
              <a:rPr lang="en-US" baseline="0"/>
              <a:t> BY PRODUCT</a:t>
            </a:r>
            <a:endParaRPr lang="en-US"/>
          </a:p>
        </c:rich>
      </c:tx>
      <c:layout>
        <c:manualLayout>
          <c:xMode val="edge"/>
          <c:yMode val="edge"/>
          <c:x val="0.21223628934688532"/>
          <c:y val="0.13162092476338741"/>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Sheet3!$B$68</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Sheet3!$A$69:$A$72</c:f>
              <c:strCache>
                <c:ptCount val="3"/>
                <c:pt idx="0">
                  <c:v>Laptop</c:v>
                </c:pt>
                <c:pt idx="1">
                  <c:v>Mobile</c:v>
                </c:pt>
                <c:pt idx="2">
                  <c:v>Tablet</c:v>
                </c:pt>
              </c:strCache>
            </c:strRef>
          </c:cat>
          <c:val>
            <c:numRef>
              <c:f>Sheet3!$B$69:$B$72</c:f>
              <c:numCache>
                <c:formatCode>General</c:formatCode>
                <c:ptCount val="3"/>
                <c:pt idx="0">
                  <c:v>1250000</c:v>
                </c:pt>
                <c:pt idx="1">
                  <c:v>675000</c:v>
                </c:pt>
                <c:pt idx="2">
                  <c:v>555000</c:v>
                </c:pt>
              </c:numCache>
            </c:numRef>
          </c:val>
          <c:smooth val="0"/>
          <c:extLst>
            <c:ext xmlns:c16="http://schemas.microsoft.com/office/drawing/2014/chart" uri="{C3380CC4-5D6E-409C-BE32-E72D297353CC}">
              <c16:uniqueId val="{00000000-F818-45D5-BAEC-2480DB5794B1}"/>
            </c:ext>
          </c:extLst>
        </c:ser>
        <c:dLbls>
          <c:showLegendKey val="0"/>
          <c:showVal val="0"/>
          <c:showCatName val="0"/>
          <c:showSerName val="0"/>
          <c:showPercent val="0"/>
          <c:showBubbleSize val="0"/>
        </c:dLbls>
        <c:marker val="1"/>
        <c:smooth val="0"/>
        <c:axId val="11626800"/>
        <c:axId val="11628240"/>
      </c:lineChart>
      <c:catAx>
        <c:axId val="116268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628240"/>
        <c:crosses val="autoZero"/>
        <c:auto val="1"/>
        <c:lblAlgn val="ctr"/>
        <c:lblOffset val="100"/>
        <c:noMultiLvlLbl val="0"/>
      </c:catAx>
      <c:valAx>
        <c:axId val="116282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62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419100</xdr:colOff>
      <xdr:row>0</xdr:row>
      <xdr:rowOff>163830</xdr:rowOff>
    </xdr:from>
    <xdr:to>
      <xdr:col>10</xdr:col>
      <xdr:colOff>114300</xdr:colOff>
      <xdr:row>15</xdr:row>
      <xdr:rowOff>163830</xdr:rowOff>
    </xdr:to>
    <xdr:graphicFrame macro="">
      <xdr:nvGraphicFramePr>
        <xdr:cNvPr id="2" name="Chart 1">
          <a:extLst>
            <a:ext uri="{FF2B5EF4-FFF2-40B4-BE49-F238E27FC236}">
              <a16:creationId xmlns:a16="http://schemas.microsoft.com/office/drawing/2014/main" id="{D34F2CAC-1A38-ACC3-5837-8B0AECEA1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411480</xdr:colOff>
      <xdr:row>1</xdr:row>
      <xdr:rowOff>53340</xdr:rowOff>
    </xdr:from>
    <xdr:to>
      <xdr:col>13</xdr:col>
      <xdr:colOff>411480</xdr:colOff>
      <xdr:row>14</xdr:row>
      <xdr:rowOff>142875</xdr:rowOff>
    </xdr:to>
    <mc:AlternateContent xmlns:mc="http://schemas.openxmlformats.org/markup-compatibility/2006">
      <mc:Choice xmlns:a14="http://schemas.microsoft.com/office/drawing/2010/main" Requires="a14">
        <xdr:graphicFrame macro="">
          <xdr:nvGraphicFramePr>
            <xdr:cNvPr id="3" name="Profit Bins">
              <a:extLst>
                <a:ext uri="{FF2B5EF4-FFF2-40B4-BE49-F238E27FC236}">
                  <a16:creationId xmlns:a16="http://schemas.microsoft.com/office/drawing/2014/main" id="{A6499371-CA6F-1F52-4101-BFAC19D7988F}"/>
                </a:ext>
              </a:extLst>
            </xdr:cNvPr>
            <xdr:cNvGraphicFramePr/>
          </xdr:nvGraphicFramePr>
          <xdr:xfrm>
            <a:off x="0" y="0"/>
            <a:ext cx="0" cy="0"/>
          </xdr:xfrm>
          <a:graphic>
            <a:graphicData uri="http://schemas.microsoft.com/office/drawing/2010/slicer">
              <sle:slicer xmlns:sle="http://schemas.microsoft.com/office/drawing/2010/slicer" name="Profit Bins"/>
            </a:graphicData>
          </a:graphic>
        </xdr:graphicFrame>
      </mc:Choice>
      <mc:Fallback>
        <xdr:sp macro="" textlink="">
          <xdr:nvSpPr>
            <xdr:cNvPr id="0" name=""/>
            <xdr:cNvSpPr>
              <a:spLocks noTextEdit="1"/>
            </xdr:cNvSpPr>
          </xdr:nvSpPr>
          <xdr:spPr>
            <a:xfrm>
              <a:off x="7235613" y="239607"/>
              <a:ext cx="1828800" cy="2511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557106</xdr:colOff>
      <xdr:row>16</xdr:row>
      <xdr:rowOff>130809</xdr:rowOff>
    </xdr:from>
    <xdr:to>
      <xdr:col>10</xdr:col>
      <xdr:colOff>61806</xdr:colOff>
      <xdr:row>31</xdr:row>
      <xdr:rowOff>130809</xdr:rowOff>
    </xdr:to>
    <xdr:graphicFrame macro="">
      <xdr:nvGraphicFramePr>
        <xdr:cNvPr id="4" name="Chart 3">
          <a:extLst>
            <a:ext uri="{FF2B5EF4-FFF2-40B4-BE49-F238E27FC236}">
              <a16:creationId xmlns:a16="http://schemas.microsoft.com/office/drawing/2014/main" id="{C24F9DBF-D791-7AC8-FDD1-83CA47471B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403860</xdr:colOff>
      <xdr:row>17</xdr:row>
      <xdr:rowOff>83820</xdr:rowOff>
    </xdr:from>
    <xdr:to>
      <xdr:col>13</xdr:col>
      <xdr:colOff>403860</xdr:colOff>
      <xdr:row>30</xdr:row>
      <xdr:rowOff>173355</xdr:rowOff>
    </xdr:to>
    <mc:AlternateContent xmlns:mc="http://schemas.openxmlformats.org/markup-compatibility/2006">
      <mc:Choice xmlns:a14="http://schemas.microsoft.com/office/drawing/2010/main" Requires="a14">
        <xdr:graphicFrame macro="">
          <xdr:nvGraphicFramePr>
            <xdr:cNvPr id="5" name="Sales Bins">
              <a:extLst>
                <a:ext uri="{FF2B5EF4-FFF2-40B4-BE49-F238E27FC236}">
                  <a16:creationId xmlns:a16="http://schemas.microsoft.com/office/drawing/2014/main" id="{731413C2-BA03-3F8F-6952-3619E14CCAD3}"/>
                </a:ext>
              </a:extLst>
            </xdr:cNvPr>
            <xdr:cNvGraphicFramePr/>
          </xdr:nvGraphicFramePr>
          <xdr:xfrm>
            <a:off x="0" y="0"/>
            <a:ext cx="0" cy="0"/>
          </xdr:xfrm>
          <a:graphic>
            <a:graphicData uri="http://schemas.microsoft.com/office/drawing/2010/slicer">
              <sle:slicer xmlns:sle="http://schemas.microsoft.com/office/drawing/2010/slicer" name="Sales Bins"/>
            </a:graphicData>
          </a:graphic>
        </xdr:graphicFrame>
      </mc:Choice>
      <mc:Fallback>
        <xdr:sp macro="" textlink="">
          <xdr:nvSpPr>
            <xdr:cNvPr id="0" name=""/>
            <xdr:cNvSpPr>
              <a:spLocks noTextEdit="1"/>
            </xdr:cNvSpPr>
          </xdr:nvSpPr>
          <xdr:spPr>
            <a:xfrm>
              <a:off x="7227993" y="3250353"/>
              <a:ext cx="1828800" cy="2511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327660</xdr:colOff>
      <xdr:row>32</xdr:row>
      <xdr:rowOff>163830</xdr:rowOff>
    </xdr:from>
    <xdr:to>
      <xdr:col>9</xdr:col>
      <xdr:colOff>441960</xdr:colOff>
      <xdr:row>47</xdr:row>
      <xdr:rowOff>163830</xdr:rowOff>
    </xdr:to>
    <xdr:graphicFrame macro="">
      <xdr:nvGraphicFramePr>
        <xdr:cNvPr id="6" name="Chart 5">
          <a:extLst>
            <a:ext uri="{FF2B5EF4-FFF2-40B4-BE49-F238E27FC236}">
              <a16:creationId xmlns:a16="http://schemas.microsoft.com/office/drawing/2014/main" id="{465C9F98-D833-CC53-5502-0EB329431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137160</xdr:colOff>
      <xdr:row>33</xdr:row>
      <xdr:rowOff>60960</xdr:rowOff>
    </xdr:from>
    <xdr:to>
      <xdr:col>13</xdr:col>
      <xdr:colOff>137160</xdr:colOff>
      <xdr:row>46</xdr:row>
      <xdr:rowOff>150495</xdr:rowOff>
    </xdr:to>
    <mc:AlternateContent xmlns:mc="http://schemas.openxmlformats.org/markup-compatibility/2006">
      <mc:Choice xmlns:a14="http://schemas.microsoft.com/office/drawing/2010/main" Requires="a14">
        <xdr:graphicFrame macro="">
          <xdr:nvGraphicFramePr>
            <xdr:cNvPr id="7" name="Salesperson">
              <a:extLst>
                <a:ext uri="{FF2B5EF4-FFF2-40B4-BE49-F238E27FC236}">
                  <a16:creationId xmlns:a16="http://schemas.microsoft.com/office/drawing/2014/main" id="{D6A5F66B-20B5-BDD2-97C8-F06904BAC461}"/>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6961293" y="6207760"/>
              <a:ext cx="1828800" cy="2511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469900</xdr:colOff>
      <xdr:row>50</xdr:row>
      <xdr:rowOff>7197</xdr:rowOff>
    </xdr:from>
    <xdr:to>
      <xdr:col>10</xdr:col>
      <xdr:colOff>12700</xdr:colOff>
      <xdr:row>65</xdr:row>
      <xdr:rowOff>7197</xdr:rowOff>
    </xdr:to>
    <xdr:graphicFrame macro="">
      <xdr:nvGraphicFramePr>
        <xdr:cNvPr id="8" name="Chart 7">
          <a:extLst>
            <a:ext uri="{FF2B5EF4-FFF2-40B4-BE49-F238E27FC236}">
              <a16:creationId xmlns:a16="http://schemas.microsoft.com/office/drawing/2014/main" id="{CA38368A-C75D-CCB8-047C-3CD3C8F72D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129540</xdr:colOff>
      <xdr:row>50</xdr:row>
      <xdr:rowOff>144780</xdr:rowOff>
    </xdr:from>
    <xdr:to>
      <xdr:col>13</xdr:col>
      <xdr:colOff>129540</xdr:colOff>
      <xdr:row>64</xdr:row>
      <xdr:rowOff>51435</xdr:rowOff>
    </xdr:to>
    <mc:AlternateContent xmlns:mc="http://schemas.openxmlformats.org/markup-compatibility/2006">
      <mc:Choice xmlns:a14="http://schemas.microsoft.com/office/drawing/2010/main" Requires="a14">
        <xdr:graphicFrame macro="">
          <xdr:nvGraphicFramePr>
            <xdr:cNvPr id="9" name="Cost Bins">
              <a:extLst>
                <a:ext uri="{FF2B5EF4-FFF2-40B4-BE49-F238E27FC236}">
                  <a16:creationId xmlns:a16="http://schemas.microsoft.com/office/drawing/2014/main" id="{300E6F65-6D09-8C8B-09DA-9C063C0B8C06}"/>
                </a:ext>
              </a:extLst>
            </xdr:cNvPr>
            <xdr:cNvGraphicFramePr/>
          </xdr:nvGraphicFramePr>
          <xdr:xfrm>
            <a:off x="0" y="0"/>
            <a:ext cx="0" cy="0"/>
          </xdr:xfrm>
          <a:graphic>
            <a:graphicData uri="http://schemas.microsoft.com/office/drawing/2010/slicer">
              <sle:slicer xmlns:sle="http://schemas.microsoft.com/office/drawing/2010/slicer" name="Cost Bins"/>
            </a:graphicData>
          </a:graphic>
        </xdr:graphicFrame>
      </mc:Choice>
      <mc:Fallback>
        <xdr:sp macro="" textlink="">
          <xdr:nvSpPr>
            <xdr:cNvPr id="0" name=""/>
            <xdr:cNvSpPr>
              <a:spLocks noTextEdit="1"/>
            </xdr:cNvSpPr>
          </xdr:nvSpPr>
          <xdr:spPr>
            <a:xfrm>
              <a:off x="6953673" y="9458113"/>
              <a:ext cx="1828800" cy="2514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335280</xdr:colOff>
      <xdr:row>66</xdr:row>
      <xdr:rowOff>156210</xdr:rowOff>
    </xdr:from>
    <xdr:to>
      <xdr:col>9</xdr:col>
      <xdr:colOff>449580</xdr:colOff>
      <xdr:row>81</xdr:row>
      <xdr:rowOff>156210</xdr:rowOff>
    </xdr:to>
    <xdr:graphicFrame macro="">
      <xdr:nvGraphicFramePr>
        <xdr:cNvPr id="10" name="Chart 9">
          <a:extLst>
            <a:ext uri="{FF2B5EF4-FFF2-40B4-BE49-F238E27FC236}">
              <a16:creationId xmlns:a16="http://schemas.microsoft.com/office/drawing/2014/main" id="{96AE6430-D0A3-EB4F-C4C1-0A899E30D9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266700</xdr:colOff>
      <xdr:row>66</xdr:row>
      <xdr:rowOff>129540</xdr:rowOff>
    </xdr:from>
    <xdr:to>
      <xdr:col>13</xdr:col>
      <xdr:colOff>266700</xdr:colOff>
      <xdr:row>80</xdr:row>
      <xdr:rowOff>36195</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6A48C032-D4A9-3097-CA49-C5F8E73013C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090833" y="12423140"/>
              <a:ext cx="1828800" cy="25143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434340</xdr:colOff>
      <xdr:row>66</xdr:row>
      <xdr:rowOff>129540</xdr:rowOff>
    </xdr:from>
    <xdr:to>
      <xdr:col>16</xdr:col>
      <xdr:colOff>434340</xdr:colOff>
      <xdr:row>80</xdr:row>
      <xdr:rowOff>36195</xdr:rowOff>
    </xdr:to>
    <mc:AlternateContent xmlns:mc="http://schemas.openxmlformats.org/markup-compatibility/2006">
      <mc:Choice xmlns:a14="http://schemas.microsoft.com/office/drawing/2010/main" Requires="a14">
        <xdr:graphicFrame macro="">
          <xdr:nvGraphicFramePr>
            <xdr:cNvPr id="12" name="Product">
              <a:extLst>
                <a:ext uri="{FF2B5EF4-FFF2-40B4-BE49-F238E27FC236}">
                  <a16:creationId xmlns:a16="http://schemas.microsoft.com/office/drawing/2014/main" id="{EE73844C-AEB7-4D0B-B4B7-4AF1272A3A7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087273" y="12423140"/>
              <a:ext cx="1828800" cy="25143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7620</xdr:colOff>
      <xdr:row>1</xdr:row>
      <xdr:rowOff>22860</xdr:rowOff>
    </xdr:from>
    <xdr:to>
      <xdr:col>39</xdr:col>
      <xdr:colOff>601134</xdr:colOff>
      <xdr:row>3</xdr:row>
      <xdr:rowOff>160020</xdr:rowOff>
    </xdr:to>
    <xdr:sp macro="" textlink="">
      <xdr:nvSpPr>
        <xdr:cNvPr id="13" name="Rectangle 12">
          <a:extLst>
            <a:ext uri="{FF2B5EF4-FFF2-40B4-BE49-F238E27FC236}">
              <a16:creationId xmlns:a16="http://schemas.microsoft.com/office/drawing/2014/main" id="{3056A887-EA8B-B790-FFF9-476B8BC08F0E}"/>
            </a:ext>
          </a:extLst>
        </xdr:cNvPr>
        <xdr:cNvSpPr/>
      </xdr:nvSpPr>
      <xdr:spPr>
        <a:xfrm>
          <a:off x="12318153" y="209127"/>
          <a:ext cx="12785514" cy="509693"/>
        </a:xfrm>
        <a:prstGeom prst="rect">
          <a:avLst/>
        </a:prstGeom>
        <a:solidFill>
          <a:schemeClr val="accent1">
            <a:lumMod val="75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t>                                                  </a:t>
          </a:r>
          <a:r>
            <a:rPr lang="en-IN" sz="3200" b="1" baseline="0"/>
            <a:t> </a:t>
          </a:r>
          <a:r>
            <a:rPr lang="en-IN" sz="3200" b="1"/>
            <a:t>SALES BASHBOARD</a:t>
          </a:r>
        </a:p>
      </xdr:txBody>
    </xdr:sp>
    <xdr:clientData/>
  </xdr:twoCellAnchor>
  <xdr:twoCellAnchor>
    <xdr:from>
      <xdr:col>25</xdr:col>
      <xdr:colOff>336972</xdr:colOff>
      <xdr:row>10</xdr:row>
      <xdr:rowOff>22860</xdr:rowOff>
    </xdr:from>
    <xdr:to>
      <xdr:col>33</xdr:col>
      <xdr:colOff>321733</xdr:colOff>
      <xdr:row>22</xdr:row>
      <xdr:rowOff>33866</xdr:rowOff>
    </xdr:to>
    <xdr:graphicFrame macro="">
      <xdr:nvGraphicFramePr>
        <xdr:cNvPr id="14" name="Chart 13">
          <a:extLst>
            <a:ext uri="{FF2B5EF4-FFF2-40B4-BE49-F238E27FC236}">
              <a16:creationId xmlns:a16="http://schemas.microsoft.com/office/drawing/2014/main" id="{DCA0C9FE-925E-4054-9056-B85911C961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228600</xdr:colOff>
      <xdr:row>4</xdr:row>
      <xdr:rowOff>93133</xdr:rowOff>
    </xdr:from>
    <xdr:to>
      <xdr:col>22</xdr:col>
      <xdr:colOff>592667</xdr:colOff>
      <xdr:row>9</xdr:row>
      <xdr:rowOff>110067</xdr:rowOff>
    </xdr:to>
    <xdr:sp macro="" textlink="">
      <xdr:nvSpPr>
        <xdr:cNvPr id="15" name="Rectangle: Rounded Corners 14">
          <a:extLst>
            <a:ext uri="{FF2B5EF4-FFF2-40B4-BE49-F238E27FC236}">
              <a16:creationId xmlns:a16="http://schemas.microsoft.com/office/drawing/2014/main" id="{61628EC3-A50F-0890-3E53-1165A8457EA8}"/>
            </a:ext>
          </a:extLst>
        </xdr:cNvPr>
        <xdr:cNvSpPr/>
      </xdr:nvSpPr>
      <xdr:spPr>
        <a:xfrm>
          <a:off x="12539133" y="838200"/>
          <a:ext cx="2192867" cy="948267"/>
        </a:xfrm>
        <a:prstGeom prst="roundRect">
          <a:avLst/>
        </a:prstGeom>
        <a:solidFill>
          <a:schemeClr val="accent1">
            <a:lumMod val="40000"/>
            <a:lumOff val="6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rPr>
            <a:t>           TOTAL SALES</a:t>
          </a:r>
        </a:p>
      </xdr:txBody>
    </xdr:sp>
    <xdr:clientData/>
  </xdr:twoCellAnchor>
  <xdr:oneCellAnchor>
    <xdr:from>
      <xdr:col>23</xdr:col>
      <xdr:colOff>127000</xdr:colOff>
      <xdr:row>4</xdr:row>
      <xdr:rowOff>169333</xdr:rowOff>
    </xdr:from>
    <xdr:ext cx="184731" cy="342786"/>
    <xdr:sp macro="" textlink="">
      <xdr:nvSpPr>
        <xdr:cNvPr id="17" name="TextBox 16">
          <a:extLst>
            <a:ext uri="{FF2B5EF4-FFF2-40B4-BE49-F238E27FC236}">
              <a16:creationId xmlns:a16="http://schemas.microsoft.com/office/drawing/2014/main" id="{6E3A6459-2631-A08A-0B64-A4E26ADA2AAE}"/>
            </a:ext>
          </a:extLst>
        </xdr:cNvPr>
        <xdr:cNvSpPr txBox="1"/>
      </xdr:nvSpPr>
      <xdr:spPr>
        <a:xfrm>
          <a:off x="14875933" y="914400"/>
          <a:ext cx="18473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600" b="1"/>
        </a:p>
      </xdr:txBody>
    </xdr:sp>
    <xdr:clientData/>
  </xdr:oneCellAnchor>
  <xdr:oneCellAnchor>
    <xdr:from>
      <xdr:col>26</xdr:col>
      <xdr:colOff>59267</xdr:colOff>
      <xdr:row>6</xdr:row>
      <xdr:rowOff>84667</xdr:rowOff>
    </xdr:from>
    <xdr:ext cx="184731" cy="264560"/>
    <xdr:sp macro="" textlink="">
      <xdr:nvSpPr>
        <xdr:cNvPr id="18" name="TextBox 17">
          <a:extLst>
            <a:ext uri="{FF2B5EF4-FFF2-40B4-BE49-F238E27FC236}">
              <a16:creationId xmlns:a16="http://schemas.microsoft.com/office/drawing/2014/main" id="{762BC1DA-D9E6-8981-EA54-ABB7EE30DB7D}"/>
            </a:ext>
          </a:extLst>
        </xdr:cNvPr>
        <xdr:cNvSpPr txBox="1"/>
      </xdr:nvSpPr>
      <xdr:spPr>
        <a:xfrm>
          <a:off x="16637000" y="120226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23</xdr:col>
      <xdr:colOff>50800</xdr:colOff>
      <xdr:row>7</xdr:row>
      <xdr:rowOff>160866</xdr:rowOff>
    </xdr:from>
    <xdr:ext cx="184731" cy="264560"/>
    <xdr:sp macro="" textlink="">
      <xdr:nvSpPr>
        <xdr:cNvPr id="19" name="TextBox 18">
          <a:extLst>
            <a:ext uri="{FF2B5EF4-FFF2-40B4-BE49-F238E27FC236}">
              <a16:creationId xmlns:a16="http://schemas.microsoft.com/office/drawing/2014/main" id="{41B07477-2D66-9EF5-ABDF-7CA97DC4D7FF}"/>
            </a:ext>
          </a:extLst>
        </xdr:cNvPr>
        <xdr:cNvSpPr txBox="1"/>
      </xdr:nvSpPr>
      <xdr:spPr>
        <a:xfrm>
          <a:off x="14799733" y="146473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19</xdr:col>
      <xdr:colOff>584201</xdr:colOff>
      <xdr:row>6</xdr:row>
      <xdr:rowOff>93133</xdr:rowOff>
    </xdr:from>
    <xdr:ext cx="1458476" cy="530658"/>
    <xdr:sp macro="" textlink="Sheet1!L10">
      <xdr:nvSpPr>
        <xdr:cNvPr id="20" name="TextBox 19">
          <a:extLst>
            <a:ext uri="{FF2B5EF4-FFF2-40B4-BE49-F238E27FC236}">
              <a16:creationId xmlns:a16="http://schemas.microsoft.com/office/drawing/2014/main" id="{64CD395E-C349-E788-B2AC-540EA8121127}"/>
            </a:ext>
          </a:extLst>
        </xdr:cNvPr>
        <xdr:cNvSpPr txBox="1"/>
      </xdr:nvSpPr>
      <xdr:spPr>
        <a:xfrm>
          <a:off x="12894734" y="1210733"/>
          <a:ext cx="1458476"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8EE7DE0-11A5-4A26-82F9-79F92B05FA6C}" type="TxLink">
            <a:rPr lang="en-US" sz="2800" b="1" i="0" u="none" strike="noStrike">
              <a:solidFill>
                <a:srgbClr val="000000"/>
              </a:solidFill>
              <a:latin typeface="Calibri"/>
              <a:ea typeface="Calibri"/>
              <a:cs typeface="Calibri"/>
            </a:rPr>
            <a:t>2480000</a:t>
          </a:fld>
          <a:endParaRPr lang="en-IN" sz="2800" b="1"/>
        </a:p>
      </xdr:txBody>
    </xdr:sp>
    <xdr:clientData/>
  </xdr:oneCellAnchor>
  <xdr:twoCellAnchor>
    <xdr:from>
      <xdr:col>23</xdr:col>
      <xdr:colOff>152400</xdr:colOff>
      <xdr:row>4</xdr:row>
      <xdr:rowOff>101600</xdr:rowOff>
    </xdr:from>
    <xdr:to>
      <xdr:col>27</xdr:col>
      <xdr:colOff>101600</xdr:colOff>
      <xdr:row>9</xdr:row>
      <xdr:rowOff>118534</xdr:rowOff>
    </xdr:to>
    <xdr:sp macro="" textlink="">
      <xdr:nvSpPr>
        <xdr:cNvPr id="21" name="Rectangle: Rounded Corners 20">
          <a:extLst>
            <a:ext uri="{FF2B5EF4-FFF2-40B4-BE49-F238E27FC236}">
              <a16:creationId xmlns:a16="http://schemas.microsoft.com/office/drawing/2014/main" id="{1EDFB2E5-1A23-43D3-A312-B136BD02B506}"/>
            </a:ext>
          </a:extLst>
        </xdr:cNvPr>
        <xdr:cNvSpPr/>
      </xdr:nvSpPr>
      <xdr:spPr>
        <a:xfrm>
          <a:off x="14901333" y="846667"/>
          <a:ext cx="2387600" cy="948267"/>
        </a:xfrm>
        <a:prstGeom prst="roundRect">
          <a:avLst/>
        </a:prstGeom>
        <a:solidFill>
          <a:schemeClr val="accent6">
            <a:lumMod val="40000"/>
            <a:lumOff val="6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rPr>
            <a:t>           TOTAL COST</a:t>
          </a:r>
        </a:p>
      </xdr:txBody>
    </xdr:sp>
    <xdr:clientData/>
  </xdr:twoCellAnchor>
  <xdr:oneCellAnchor>
    <xdr:from>
      <xdr:col>23</xdr:col>
      <xdr:colOff>338667</xdr:colOff>
      <xdr:row>6</xdr:row>
      <xdr:rowOff>126999</xdr:rowOff>
    </xdr:from>
    <xdr:ext cx="2055243" cy="468013"/>
    <xdr:sp macro="" textlink="Sheet1!L4">
      <xdr:nvSpPr>
        <xdr:cNvPr id="22" name="TextBox 21">
          <a:extLst>
            <a:ext uri="{FF2B5EF4-FFF2-40B4-BE49-F238E27FC236}">
              <a16:creationId xmlns:a16="http://schemas.microsoft.com/office/drawing/2014/main" id="{62BF136F-D93C-0276-94C8-CFB0B64B55A8}"/>
            </a:ext>
          </a:extLst>
        </xdr:cNvPr>
        <xdr:cNvSpPr txBox="1"/>
      </xdr:nvSpPr>
      <xdr:spPr>
        <a:xfrm>
          <a:off x="15087600" y="1244599"/>
          <a:ext cx="205524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FB51DA8-625F-4342-8490-FF884AB745F4}" type="TxLink">
            <a:rPr lang="en-US" sz="2400" b="1" i="0" u="none" strike="noStrike">
              <a:solidFill>
                <a:srgbClr val="000000"/>
              </a:solidFill>
              <a:latin typeface="Calibri"/>
              <a:ea typeface="Calibri"/>
              <a:cs typeface="Calibri"/>
            </a:rPr>
            <a:t>₹ 20,96,000.00</a:t>
          </a:fld>
          <a:endParaRPr lang="en-IN" sz="2400" b="1"/>
        </a:p>
      </xdr:txBody>
    </xdr:sp>
    <xdr:clientData/>
  </xdr:oneCellAnchor>
  <xdr:twoCellAnchor>
    <xdr:from>
      <xdr:col>27</xdr:col>
      <xdr:colOff>270934</xdr:colOff>
      <xdr:row>4</xdr:row>
      <xdr:rowOff>101599</xdr:rowOff>
    </xdr:from>
    <xdr:to>
      <xdr:col>31</xdr:col>
      <xdr:colOff>67734</xdr:colOff>
      <xdr:row>9</xdr:row>
      <xdr:rowOff>118533</xdr:rowOff>
    </xdr:to>
    <xdr:sp macro="" textlink="">
      <xdr:nvSpPr>
        <xdr:cNvPr id="23" name="Rectangle: Rounded Corners 22">
          <a:extLst>
            <a:ext uri="{FF2B5EF4-FFF2-40B4-BE49-F238E27FC236}">
              <a16:creationId xmlns:a16="http://schemas.microsoft.com/office/drawing/2014/main" id="{0D4D676A-8010-4568-BA22-C368353F592C}"/>
            </a:ext>
          </a:extLst>
        </xdr:cNvPr>
        <xdr:cNvSpPr/>
      </xdr:nvSpPr>
      <xdr:spPr>
        <a:xfrm>
          <a:off x="17458267" y="846666"/>
          <a:ext cx="2235200" cy="948267"/>
        </a:xfrm>
        <a:prstGeom prst="roundRect">
          <a:avLst/>
        </a:prstGeom>
        <a:solidFill>
          <a:schemeClr val="accent4">
            <a:lumMod val="40000"/>
            <a:lumOff val="6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rPr>
            <a:t>       </a:t>
          </a:r>
          <a:r>
            <a:rPr lang="en-IN" sz="1600" b="1" baseline="0">
              <a:solidFill>
                <a:sysClr val="windowText" lastClr="000000"/>
              </a:solidFill>
            </a:rPr>
            <a:t> </a:t>
          </a:r>
          <a:r>
            <a:rPr lang="en-IN" sz="1600" b="1">
              <a:solidFill>
                <a:sysClr val="windowText" lastClr="000000"/>
              </a:solidFill>
            </a:rPr>
            <a:t> TOTAL PROFIT</a:t>
          </a:r>
        </a:p>
      </xdr:txBody>
    </xdr:sp>
    <xdr:clientData/>
  </xdr:twoCellAnchor>
  <xdr:oneCellAnchor>
    <xdr:from>
      <xdr:col>27</xdr:col>
      <xdr:colOff>440267</xdr:colOff>
      <xdr:row>6</xdr:row>
      <xdr:rowOff>127000</xdr:rowOff>
    </xdr:from>
    <xdr:ext cx="1899238" cy="468013"/>
    <xdr:sp macro="" textlink="Sheet1!L7">
      <xdr:nvSpPr>
        <xdr:cNvPr id="24" name="TextBox 23">
          <a:extLst>
            <a:ext uri="{FF2B5EF4-FFF2-40B4-BE49-F238E27FC236}">
              <a16:creationId xmlns:a16="http://schemas.microsoft.com/office/drawing/2014/main" id="{B487E2D2-DF1C-BB9C-B0C8-031AA07E470D}"/>
            </a:ext>
          </a:extLst>
        </xdr:cNvPr>
        <xdr:cNvSpPr txBox="1"/>
      </xdr:nvSpPr>
      <xdr:spPr>
        <a:xfrm>
          <a:off x="17627600" y="1244600"/>
          <a:ext cx="1899238"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C4EBEAE-D9CF-4BB9-A521-F3E4E5E2CBA7}" type="TxLink">
            <a:rPr lang="en-US" sz="2400" b="1" i="0" u="none" strike="noStrike">
              <a:solidFill>
                <a:srgbClr val="000000"/>
              </a:solidFill>
              <a:latin typeface="Calibri"/>
              <a:ea typeface="Calibri"/>
              <a:cs typeface="Calibri"/>
            </a:rPr>
            <a:t>₹ 3,84,000.00</a:t>
          </a:fld>
          <a:endParaRPr lang="en-IN" sz="2400" b="1"/>
        </a:p>
      </xdr:txBody>
    </xdr:sp>
    <xdr:clientData/>
  </xdr:oneCellAnchor>
  <xdr:twoCellAnchor>
    <xdr:from>
      <xdr:col>31</xdr:col>
      <xdr:colOff>237065</xdr:colOff>
      <xdr:row>4</xdr:row>
      <xdr:rowOff>84667</xdr:rowOff>
    </xdr:from>
    <xdr:to>
      <xdr:col>35</xdr:col>
      <xdr:colOff>186265</xdr:colOff>
      <xdr:row>9</xdr:row>
      <xdr:rowOff>101601</xdr:rowOff>
    </xdr:to>
    <xdr:sp macro="" textlink="">
      <xdr:nvSpPr>
        <xdr:cNvPr id="25" name="Rectangle: Rounded Corners 24">
          <a:extLst>
            <a:ext uri="{FF2B5EF4-FFF2-40B4-BE49-F238E27FC236}">
              <a16:creationId xmlns:a16="http://schemas.microsoft.com/office/drawing/2014/main" id="{BA30BD36-5C06-4B50-B1C8-BF8CD72B341F}"/>
            </a:ext>
          </a:extLst>
        </xdr:cNvPr>
        <xdr:cNvSpPr/>
      </xdr:nvSpPr>
      <xdr:spPr>
        <a:xfrm>
          <a:off x="19862798" y="829734"/>
          <a:ext cx="2387600" cy="948267"/>
        </a:xfrm>
        <a:prstGeom prst="roundRect">
          <a:avLst/>
        </a:prstGeom>
        <a:solidFill>
          <a:schemeClr val="bg1">
            <a:lumMod val="6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rPr>
            <a:t>      TOP</a:t>
          </a:r>
          <a:r>
            <a:rPr lang="en-IN" sz="1600" b="1" baseline="0">
              <a:solidFill>
                <a:sysClr val="windowText" lastClr="000000"/>
              </a:solidFill>
            </a:rPr>
            <a:t> SALES REGION</a:t>
          </a:r>
          <a:endParaRPr lang="en-IN" sz="1600" b="1">
            <a:solidFill>
              <a:sysClr val="windowText" lastClr="000000"/>
            </a:solidFill>
          </a:endParaRPr>
        </a:p>
      </xdr:txBody>
    </xdr:sp>
    <xdr:clientData/>
  </xdr:twoCellAnchor>
  <xdr:oneCellAnchor>
    <xdr:from>
      <xdr:col>32</xdr:col>
      <xdr:colOff>321732</xdr:colOff>
      <xdr:row>6</xdr:row>
      <xdr:rowOff>93133</xdr:rowOff>
    </xdr:from>
    <xdr:ext cx="1059072" cy="530658"/>
    <xdr:sp macro="" textlink="Sheet1!L13">
      <xdr:nvSpPr>
        <xdr:cNvPr id="26" name="TextBox 25">
          <a:extLst>
            <a:ext uri="{FF2B5EF4-FFF2-40B4-BE49-F238E27FC236}">
              <a16:creationId xmlns:a16="http://schemas.microsoft.com/office/drawing/2014/main" id="{14F4978A-8831-92F0-D5EE-AE338E28871F}"/>
            </a:ext>
          </a:extLst>
        </xdr:cNvPr>
        <xdr:cNvSpPr txBox="1"/>
      </xdr:nvSpPr>
      <xdr:spPr>
        <a:xfrm>
          <a:off x="20557065" y="1210733"/>
          <a:ext cx="105907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649F093-90D7-409C-944E-8AC53D652050}" type="TxLink">
            <a:rPr lang="en-US" sz="2800" b="1" i="0" u="none" strike="noStrike">
              <a:solidFill>
                <a:srgbClr val="000000"/>
              </a:solidFill>
              <a:latin typeface="Calibri"/>
              <a:ea typeface="Calibri"/>
              <a:cs typeface="Calibri"/>
            </a:rPr>
            <a:t>North</a:t>
          </a:fld>
          <a:endParaRPr lang="en-IN" sz="2800" b="1"/>
        </a:p>
      </xdr:txBody>
    </xdr:sp>
    <xdr:clientData/>
  </xdr:oneCellAnchor>
  <xdr:twoCellAnchor>
    <xdr:from>
      <xdr:col>19</xdr:col>
      <xdr:colOff>169333</xdr:colOff>
      <xdr:row>10</xdr:row>
      <xdr:rowOff>25399</xdr:rowOff>
    </xdr:from>
    <xdr:to>
      <xdr:col>25</xdr:col>
      <xdr:colOff>186266</xdr:colOff>
      <xdr:row>22</xdr:row>
      <xdr:rowOff>8466</xdr:rowOff>
    </xdr:to>
    <xdr:graphicFrame macro="">
      <xdr:nvGraphicFramePr>
        <xdr:cNvPr id="27" name="Chart 26">
          <a:extLst>
            <a:ext uri="{FF2B5EF4-FFF2-40B4-BE49-F238E27FC236}">
              <a16:creationId xmlns:a16="http://schemas.microsoft.com/office/drawing/2014/main" id="{8BF903AF-755B-4593-A6AD-40C96679DB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169336</xdr:colOff>
      <xdr:row>22</xdr:row>
      <xdr:rowOff>143933</xdr:rowOff>
    </xdr:from>
    <xdr:to>
      <xdr:col>24</xdr:col>
      <xdr:colOff>169334</xdr:colOff>
      <xdr:row>35</xdr:row>
      <xdr:rowOff>50800</xdr:rowOff>
    </xdr:to>
    <xdr:graphicFrame macro="">
      <xdr:nvGraphicFramePr>
        <xdr:cNvPr id="28" name="Chart 27">
          <a:extLst>
            <a:ext uri="{FF2B5EF4-FFF2-40B4-BE49-F238E27FC236}">
              <a16:creationId xmlns:a16="http://schemas.microsoft.com/office/drawing/2014/main" id="{499902E9-2DE2-45E5-BD43-4B6299C5FE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313268</xdr:colOff>
      <xdr:row>22</xdr:row>
      <xdr:rowOff>135466</xdr:rowOff>
    </xdr:from>
    <xdr:to>
      <xdr:col>29</xdr:col>
      <xdr:colOff>25400</xdr:colOff>
      <xdr:row>35</xdr:row>
      <xdr:rowOff>42334</xdr:rowOff>
    </xdr:to>
    <xdr:graphicFrame macro="">
      <xdr:nvGraphicFramePr>
        <xdr:cNvPr id="29" name="Chart 28">
          <a:extLst>
            <a:ext uri="{FF2B5EF4-FFF2-40B4-BE49-F238E27FC236}">
              <a16:creationId xmlns:a16="http://schemas.microsoft.com/office/drawing/2014/main" id="{42844218-66AC-4C8B-A743-BC5E14F8C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177798</xdr:colOff>
      <xdr:row>22</xdr:row>
      <xdr:rowOff>177798</xdr:rowOff>
    </xdr:from>
    <xdr:to>
      <xdr:col>33</xdr:col>
      <xdr:colOff>347133</xdr:colOff>
      <xdr:row>35</xdr:row>
      <xdr:rowOff>50800</xdr:rowOff>
    </xdr:to>
    <xdr:graphicFrame macro="">
      <xdr:nvGraphicFramePr>
        <xdr:cNvPr id="30" name="Chart 29">
          <a:extLst>
            <a:ext uri="{FF2B5EF4-FFF2-40B4-BE49-F238E27FC236}">
              <a16:creationId xmlns:a16="http://schemas.microsoft.com/office/drawing/2014/main" id="{36D8087C-0953-4C1A-A372-E8AA17F0A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33</xdr:col>
      <xdr:colOff>465668</xdr:colOff>
      <xdr:row>12</xdr:row>
      <xdr:rowOff>8466</xdr:rowOff>
    </xdr:from>
    <xdr:to>
      <xdr:col>36</xdr:col>
      <xdr:colOff>465668</xdr:colOff>
      <xdr:row>19</xdr:row>
      <xdr:rowOff>135465</xdr:rowOff>
    </xdr:to>
    <mc:AlternateContent xmlns:mc="http://schemas.openxmlformats.org/markup-compatibility/2006">
      <mc:Choice xmlns:a14="http://schemas.microsoft.com/office/drawing/2010/main" Requires="a14">
        <xdr:graphicFrame macro="">
          <xdr:nvGraphicFramePr>
            <xdr:cNvPr id="31" name="Salesperson 1">
              <a:extLst>
                <a:ext uri="{FF2B5EF4-FFF2-40B4-BE49-F238E27FC236}">
                  <a16:creationId xmlns:a16="http://schemas.microsoft.com/office/drawing/2014/main" id="{D7092515-7A57-4BB8-B81E-BC8A0B041658}"/>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21310601" y="2243666"/>
              <a:ext cx="1828800" cy="1430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33</xdr:col>
      <xdr:colOff>474134</xdr:colOff>
      <xdr:row>10</xdr:row>
      <xdr:rowOff>84666</xdr:rowOff>
    </xdr:from>
    <xdr:to>
      <xdr:col>36</xdr:col>
      <xdr:colOff>465668</xdr:colOff>
      <xdr:row>12</xdr:row>
      <xdr:rowOff>0</xdr:rowOff>
    </xdr:to>
    <xdr:sp macro="" textlink="">
      <xdr:nvSpPr>
        <xdr:cNvPr id="33" name="Rectangle: Single Corner Rounded 32">
          <a:extLst>
            <a:ext uri="{FF2B5EF4-FFF2-40B4-BE49-F238E27FC236}">
              <a16:creationId xmlns:a16="http://schemas.microsoft.com/office/drawing/2014/main" id="{97835D07-E695-18F9-8836-51C5DDCDB123}"/>
            </a:ext>
          </a:extLst>
        </xdr:cNvPr>
        <xdr:cNvSpPr/>
      </xdr:nvSpPr>
      <xdr:spPr>
        <a:xfrm>
          <a:off x="21319067" y="1947333"/>
          <a:ext cx="1820334" cy="287867"/>
        </a:xfrm>
        <a:prstGeom prst="round1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b="1">
            <a:solidFill>
              <a:sysClr val="windowText" lastClr="000000"/>
            </a:solidFill>
          </a:endParaRPr>
        </a:p>
      </xdr:txBody>
    </xdr:sp>
    <xdr:clientData/>
  </xdr:twoCellAnchor>
  <xdr:oneCellAnchor>
    <xdr:from>
      <xdr:col>34</xdr:col>
      <xdr:colOff>338667</xdr:colOff>
      <xdr:row>10</xdr:row>
      <xdr:rowOff>33866</xdr:rowOff>
    </xdr:from>
    <xdr:ext cx="965200" cy="374141"/>
    <xdr:sp macro="" textlink="">
      <xdr:nvSpPr>
        <xdr:cNvPr id="34" name="TextBox 33">
          <a:extLst>
            <a:ext uri="{FF2B5EF4-FFF2-40B4-BE49-F238E27FC236}">
              <a16:creationId xmlns:a16="http://schemas.microsoft.com/office/drawing/2014/main" id="{0765FF4D-CA68-13F3-5667-82DDAFFC09A8}"/>
            </a:ext>
          </a:extLst>
        </xdr:cNvPr>
        <xdr:cNvSpPr txBox="1"/>
      </xdr:nvSpPr>
      <xdr:spPr>
        <a:xfrm>
          <a:off x="21793200" y="1896533"/>
          <a:ext cx="96520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b="1"/>
            <a:t>FILTERS</a:t>
          </a:r>
        </a:p>
      </xdr:txBody>
    </xdr:sp>
    <xdr:clientData/>
  </xdr:oneCellAnchor>
  <xdr:twoCellAnchor editAs="oneCell">
    <xdr:from>
      <xdr:col>33</xdr:col>
      <xdr:colOff>474133</xdr:colOff>
      <xdr:row>20</xdr:row>
      <xdr:rowOff>50801</xdr:rowOff>
    </xdr:from>
    <xdr:to>
      <xdr:col>36</xdr:col>
      <xdr:colOff>474133</xdr:colOff>
      <xdr:row>28</xdr:row>
      <xdr:rowOff>16933</xdr:rowOff>
    </xdr:to>
    <mc:AlternateContent xmlns:mc="http://schemas.openxmlformats.org/markup-compatibility/2006">
      <mc:Choice xmlns:a14="http://schemas.microsoft.com/office/drawing/2010/main" Requires="a14">
        <xdr:graphicFrame macro="">
          <xdr:nvGraphicFramePr>
            <xdr:cNvPr id="35" name="Region 1">
              <a:extLst>
                <a:ext uri="{FF2B5EF4-FFF2-40B4-BE49-F238E27FC236}">
                  <a16:creationId xmlns:a16="http://schemas.microsoft.com/office/drawing/2014/main" id="{596060BB-C829-45A2-BE19-7E59B6BC07F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1319066" y="3776134"/>
              <a:ext cx="1828800" cy="14562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474133</xdr:colOff>
      <xdr:row>28</xdr:row>
      <xdr:rowOff>143931</xdr:rowOff>
    </xdr:from>
    <xdr:to>
      <xdr:col>36</xdr:col>
      <xdr:colOff>474133</xdr:colOff>
      <xdr:row>35</xdr:row>
      <xdr:rowOff>16933</xdr:rowOff>
    </xdr:to>
    <mc:AlternateContent xmlns:mc="http://schemas.openxmlformats.org/markup-compatibility/2006">
      <mc:Choice xmlns:a14="http://schemas.microsoft.com/office/drawing/2010/main" Requires="a14">
        <xdr:graphicFrame macro="">
          <xdr:nvGraphicFramePr>
            <xdr:cNvPr id="36" name="Product 1">
              <a:extLst>
                <a:ext uri="{FF2B5EF4-FFF2-40B4-BE49-F238E27FC236}">
                  <a16:creationId xmlns:a16="http://schemas.microsoft.com/office/drawing/2014/main" id="{D1EF394C-D257-4CAA-8725-406B3E2072C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21319066" y="5359398"/>
              <a:ext cx="1828800" cy="11768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35</xdr:col>
      <xdr:colOff>372535</xdr:colOff>
      <xdr:row>4</xdr:row>
      <xdr:rowOff>76200</xdr:rowOff>
    </xdr:from>
    <xdr:to>
      <xdr:col>39</xdr:col>
      <xdr:colOff>364069</xdr:colOff>
      <xdr:row>9</xdr:row>
      <xdr:rowOff>93134</xdr:rowOff>
    </xdr:to>
    <xdr:sp macro="" textlink="">
      <xdr:nvSpPr>
        <xdr:cNvPr id="37" name="Rectangle: Rounded Corners 36">
          <a:extLst>
            <a:ext uri="{FF2B5EF4-FFF2-40B4-BE49-F238E27FC236}">
              <a16:creationId xmlns:a16="http://schemas.microsoft.com/office/drawing/2014/main" id="{E14ED4B3-E4C7-4092-81E7-DE75E52E0348}"/>
            </a:ext>
          </a:extLst>
        </xdr:cNvPr>
        <xdr:cNvSpPr/>
      </xdr:nvSpPr>
      <xdr:spPr>
        <a:xfrm>
          <a:off x="22436668" y="821267"/>
          <a:ext cx="2429934" cy="948267"/>
        </a:xfrm>
        <a:prstGeom prst="roundRect">
          <a:avLst/>
        </a:prstGeom>
        <a:solidFill>
          <a:srgbClr val="FFC000"/>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TOTAL PROFIT </a:t>
          </a:r>
          <a:r>
            <a:rPr lang="en-IN" sz="1400" b="1" baseline="0">
              <a:solidFill>
                <a:sysClr val="windowText" lastClr="000000"/>
              </a:solidFill>
            </a:rPr>
            <a:t>SALESPERSON</a:t>
          </a:r>
          <a:endParaRPr lang="en-IN" sz="1400" b="1">
            <a:solidFill>
              <a:sysClr val="windowText" lastClr="000000"/>
            </a:solidFill>
          </a:endParaRPr>
        </a:p>
      </xdr:txBody>
    </xdr:sp>
    <xdr:clientData/>
  </xdr:twoCellAnchor>
  <xdr:oneCellAnchor>
    <xdr:from>
      <xdr:col>36</xdr:col>
      <xdr:colOff>592667</xdr:colOff>
      <xdr:row>6</xdr:row>
      <xdr:rowOff>67733</xdr:rowOff>
    </xdr:from>
    <xdr:ext cx="822148" cy="530658"/>
    <xdr:sp macro="" textlink="Sheet1!L16">
      <xdr:nvSpPr>
        <xdr:cNvPr id="38" name="TextBox 37">
          <a:extLst>
            <a:ext uri="{FF2B5EF4-FFF2-40B4-BE49-F238E27FC236}">
              <a16:creationId xmlns:a16="http://schemas.microsoft.com/office/drawing/2014/main" id="{4E30ED63-9CEE-D8D5-44CC-FB8032340715}"/>
            </a:ext>
          </a:extLst>
        </xdr:cNvPr>
        <xdr:cNvSpPr txBox="1"/>
      </xdr:nvSpPr>
      <xdr:spPr>
        <a:xfrm>
          <a:off x="23266400" y="1185333"/>
          <a:ext cx="82214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117F4F8-9D47-46B0-9C06-F983A1E1B35B}" type="TxLink">
            <a:rPr lang="en-US" sz="2800" b="1" i="0" u="none" strike="noStrike">
              <a:solidFill>
                <a:srgbClr val="000000"/>
              </a:solidFill>
              <a:latin typeface="Calibri"/>
              <a:ea typeface="Calibri"/>
              <a:cs typeface="Calibri"/>
            </a:rPr>
            <a:t>Ravi</a:t>
          </a:fld>
          <a:endParaRPr lang="en-IN" sz="2800" b="1"/>
        </a:p>
      </xdr:txBody>
    </xdr:sp>
    <xdr:clientData/>
  </xdr:oneCellAnchor>
  <xdr:twoCellAnchor editAs="oneCell">
    <xdr:from>
      <xdr:col>36</xdr:col>
      <xdr:colOff>533400</xdr:colOff>
      <xdr:row>10</xdr:row>
      <xdr:rowOff>84667</xdr:rowOff>
    </xdr:from>
    <xdr:to>
      <xdr:col>39</xdr:col>
      <xdr:colOff>533400</xdr:colOff>
      <xdr:row>18</xdr:row>
      <xdr:rowOff>76200</xdr:rowOff>
    </xdr:to>
    <mc:AlternateContent xmlns:mc="http://schemas.openxmlformats.org/markup-compatibility/2006">
      <mc:Choice xmlns:a14="http://schemas.microsoft.com/office/drawing/2010/main" Requires="a14">
        <xdr:graphicFrame macro="">
          <xdr:nvGraphicFramePr>
            <xdr:cNvPr id="40" name="Profit Bins 1">
              <a:extLst>
                <a:ext uri="{FF2B5EF4-FFF2-40B4-BE49-F238E27FC236}">
                  <a16:creationId xmlns:a16="http://schemas.microsoft.com/office/drawing/2014/main" id="{3CF9C8A3-7292-4475-8ACA-704A69DBE9E3}"/>
                </a:ext>
              </a:extLst>
            </xdr:cNvPr>
            <xdr:cNvGraphicFramePr/>
          </xdr:nvGraphicFramePr>
          <xdr:xfrm>
            <a:off x="0" y="0"/>
            <a:ext cx="0" cy="0"/>
          </xdr:xfrm>
          <a:graphic>
            <a:graphicData uri="http://schemas.microsoft.com/office/drawing/2010/slicer">
              <sle:slicer xmlns:sle="http://schemas.microsoft.com/office/drawing/2010/slicer" name="Profit Bins 1"/>
            </a:graphicData>
          </a:graphic>
        </xdr:graphicFrame>
      </mc:Choice>
      <mc:Fallback>
        <xdr:sp macro="" textlink="">
          <xdr:nvSpPr>
            <xdr:cNvPr id="0" name=""/>
            <xdr:cNvSpPr>
              <a:spLocks noTextEdit="1"/>
            </xdr:cNvSpPr>
          </xdr:nvSpPr>
          <xdr:spPr>
            <a:xfrm>
              <a:off x="23207133" y="1947334"/>
              <a:ext cx="1828800" cy="1481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524933</xdr:colOff>
      <xdr:row>18</xdr:row>
      <xdr:rowOff>177799</xdr:rowOff>
    </xdr:from>
    <xdr:to>
      <xdr:col>39</xdr:col>
      <xdr:colOff>524933</xdr:colOff>
      <xdr:row>26</xdr:row>
      <xdr:rowOff>177799</xdr:rowOff>
    </xdr:to>
    <mc:AlternateContent xmlns:mc="http://schemas.openxmlformats.org/markup-compatibility/2006">
      <mc:Choice xmlns:a14="http://schemas.microsoft.com/office/drawing/2010/main" Requires="a14">
        <xdr:graphicFrame macro="">
          <xdr:nvGraphicFramePr>
            <xdr:cNvPr id="41" name="Sales Bins 1">
              <a:extLst>
                <a:ext uri="{FF2B5EF4-FFF2-40B4-BE49-F238E27FC236}">
                  <a16:creationId xmlns:a16="http://schemas.microsoft.com/office/drawing/2014/main" id="{363E5E13-8C80-4438-8B5C-8358FFEE973E}"/>
                </a:ext>
              </a:extLst>
            </xdr:cNvPr>
            <xdr:cNvGraphicFramePr/>
          </xdr:nvGraphicFramePr>
          <xdr:xfrm>
            <a:off x="0" y="0"/>
            <a:ext cx="0" cy="0"/>
          </xdr:xfrm>
          <a:graphic>
            <a:graphicData uri="http://schemas.microsoft.com/office/drawing/2010/slicer">
              <sle:slicer xmlns:sle="http://schemas.microsoft.com/office/drawing/2010/slicer" name="Sales Bins 1"/>
            </a:graphicData>
          </a:graphic>
        </xdr:graphicFrame>
      </mc:Choice>
      <mc:Fallback>
        <xdr:sp macro="" textlink="">
          <xdr:nvSpPr>
            <xdr:cNvPr id="0" name=""/>
            <xdr:cNvSpPr>
              <a:spLocks noTextEdit="1"/>
            </xdr:cNvSpPr>
          </xdr:nvSpPr>
          <xdr:spPr>
            <a:xfrm>
              <a:off x="23198666" y="3530599"/>
              <a:ext cx="1828800" cy="14901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524934</xdr:colOff>
      <xdr:row>27</xdr:row>
      <xdr:rowOff>135467</xdr:rowOff>
    </xdr:from>
    <xdr:to>
      <xdr:col>39</xdr:col>
      <xdr:colOff>524934</xdr:colOff>
      <xdr:row>35</xdr:row>
      <xdr:rowOff>16934</xdr:rowOff>
    </xdr:to>
    <mc:AlternateContent xmlns:mc="http://schemas.openxmlformats.org/markup-compatibility/2006">
      <mc:Choice xmlns:a14="http://schemas.microsoft.com/office/drawing/2010/main" Requires="a14">
        <xdr:graphicFrame macro="">
          <xdr:nvGraphicFramePr>
            <xdr:cNvPr id="42" name="Cost Bins 1">
              <a:extLst>
                <a:ext uri="{FF2B5EF4-FFF2-40B4-BE49-F238E27FC236}">
                  <a16:creationId xmlns:a16="http://schemas.microsoft.com/office/drawing/2014/main" id="{7B6D0DA1-A2CB-4A11-B1C2-3D749CE28D0B}"/>
                </a:ext>
              </a:extLst>
            </xdr:cNvPr>
            <xdr:cNvGraphicFramePr/>
          </xdr:nvGraphicFramePr>
          <xdr:xfrm>
            <a:off x="0" y="0"/>
            <a:ext cx="0" cy="0"/>
          </xdr:xfrm>
          <a:graphic>
            <a:graphicData uri="http://schemas.microsoft.com/office/drawing/2010/slicer">
              <sle:slicer xmlns:sle="http://schemas.microsoft.com/office/drawing/2010/slicer" name="Cost Bins 1"/>
            </a:graphicData>
          </a:graphic>
        </xdr:graphicFrame>
      </mc:Choice>
      <mc:Fallback>
        <xdr:sp macro="" textlink="">
          <xdr:nvSpPr>
            <xdr:cNvPr id="0" name=""/>
            <xdr:cNvSpPr>
              <a:spLocks noTextEdit="1"/>
            </xdr:cNvSpPr>
          </xdr:nvSpPr>
          <xdr:spPr>
            <a:xfrm>
              <a:off x="23198667" y="5164667"/>
              <a:ext cx="18288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kam sivaramireddy" refreshedDate="46180.905005671295" createdVersion="8" refreshedVersion="8" minRefreshableVersion="3" recordCount="30" xr:uid="{404BC726-D376-45A0-AA2D-BA3F71BD42E6}">
  <cacheSource type="worksheet">
    <worksheetSource ref="A1:K31" sheet="Sheet1"/>
  </cacheSource>
  <cacheFields count="11">
    <cacheField name="Date" numFmtId="15">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cacheField>
    <cacheField name="Product" numFmtId="0">
      <sharedItems count="3">
        <s v="Laptop"/>
        <s v="Mobile"/>
        <s v="Tablet"/>
      </sharedItems>
    </cacheField>
    <cacheField name="Region" numFmtId="0">
      <sharedItems count="4">
        <s v="North"/>
        <s v="South"/>
        <s v="East"/>
        <s v="West"/>
      </sharedItems>
    </cacheField>
    <cacheField name="Salesperson" numFmtId="0">
      <sharedItems count="4">
        <s v="Ravi"/>
        <s v="Priya"/>
        <s v="Kiran"/>
        <s v="Anjali"/>
      </sharedItems>
    </cacheField>
    <cacheField name="Quantity" numFmtId="0">
      <sharedItems containsSemiMixedTypes="0" containsString="0" containsNumber="1" containsInteger="1" minValue="1" maxValue="7"/>
    </cacheField>
    <cacheField name="Sales" numFmtId="0">
      <sharedItems containsSemiMixedTypes="0" containsString="0" containsNumber="1" containsInteger="1" minValue="30000" maxValue="250000"/>
    </cacheField>
    <cacheField name="Cost" numFmtId="0">
      <sharedItems containsSemiMixedTypes="0" containsString="0" containsNumber="1" containsInteger="1" minValue="25000" maxValue="212000"/>
    </cacheField>
    <cacheField name="Profit" numFmtId="0">
      <sharedItems containsSemiMixedTypes="0" containsString="0" containsNumber="1" containsInteger="1" minValue="5000" maxValue="38000"/>
    </cacheField>
    <cacheField name="Cost Bins" numFmtId="0">
      <sharedItems count="4">
        <s v="70000 TO 100000"/>
        <s v="50000 TO 69999"/>
        <s v="BELOW 50000"/>
        <s v="ABOVE 100000"/>
      </sharedItems>
    </cacheField>
    <cacheField name="Profit Bins" numFmtId="0">
      <sharedItems count="4">
        <s v="15000 TO 19999"/>
        <s v="10000 TO 14999"/>
        <s v="BELOW 10000"/>
        <s v="ABOVE 20000"/>
      </sharedItems>
    </cacheField>
    <cacheField name="Sales Bins" numFmtId="0">
      <sharedItems count="4">
        <s v="70000 TO 100000"/>
        <s v="BELOW 50000"/>
        <s v="50000 TO 69999"/>
        <s v="ABOVE 100000"/>
      </sharedItems>
    </cacheField>
  </cacheFields>
  <extLst>
    <ext xmlns:x14="http://schemas.microsoft.com/office/spreadsheetml/2009/9/main" uri="{725AE2AE-9491-48be-B2B4-4EB974FC3084}">
      <x14:pivotCacheDefinition pivotCacheId="2078914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x v="0"/>
    <n v="2"/>
    <n v="100000"/>
    <n v="85000"/>
    <n v="15000"/>
    <x v="0"/>
    <x v="0"/>
    <x v="0"/>
  </r>
  <r>
    <x v="1"/>
    <x v="1"/>
    <x v="1"/>
    <x v="1"/>
    <n v="5"/>
    <n v="75000"/>
    <n v="63000"/>
    <n v="12000"/>
    <x v="1"/>
    <x v="1"/>
    <x v="0"/>
  </r>
  <r>
    <x v="2"/>
    <x v="2"/>
    <x v="2"/>
    <x v="2"/>
    <n v="3"/>
    <n v="45000"/>
    <n v="37000"/>
    <n v="8000"/>
    <x v="2"/>
    <x v="2"/>
    <x v="1"/>
  </r>
  <r>
    <x v="3"/>
    <x v="0"/>
    <x v="3"/>
    <x v="3"/>
    <n v="1"/>
    <n v="50000"/>
    <n v="43000"/>
    <n v="7000"/>
    <x v="2"/>
    <x v="2"/>
    <x v="2"/>
  </r>
  <r>
    <x v="4"/>
    <x v="1"/>
    <x v="0"/>
    <x v="0"/>
    <n v="4"/>
    <n v="60000"/>
    <n v="50000"/>
    <n v="10000"/>
    <x v="1"/>
    <x v="1"/>
    <x v="2"/>
  </r>
  <r>
    <x v="5"/>
    <x v="2"/>
    <x v="1"/>
    <x v="1"/>
    <n v="2"/>
    <n v="30000"/>
    <n v="25000"/>
    <n v="5000"/>
    <x v="2"/>
    <x v="2"/>
    <x v="1"/>
  </r>
  <r>
    <x v="6"/>
    <x v="0"/>
    <x v="2"/>
    <x v="2"/>
    <n v="3"/>
    <n v="150000"/>
    <n v="128000"/>
    <n v="22000"/>
    <x v="3"/>
    <x v="3"/>
    <x v="3"/>
  </r>
  <r>
    <x v="7"/>
    <x v="1"/>
    <x v="3"/>
    <x v="3"/>
    <n v="6"/>
    <n v="90000"/>
    <n v="76000"/>
    <n v="14000"/>
    <x v="0"/>
    <x v="1"/>
    <x v="0"/>
  </r>
  <r>
    <x v="8"/>
    <x v="2"/>
    <x v="0"/>
    <x v="0"/>
    <n v="4"/>
    <n v="60000"/>
    <n v="51000"/>
    <n v="9000"/>
    <x v="1"/>
    <x v="2"/>
    <x v="2"/>
  </r>
  <r>
    <x v="9"/>
    <x v="0"/>
    <x v="1"/>
    <x v="1"/>
    <n v="2"/>
    <n v="100000"/>
    <n v="84000"/>
    <n v="16000"/>
    <x v="0"/>
    <x v="0"/>
    <x v="0"/>
  </r>
  <r>
    <x v="10"/>
    <x v="1"/>
    <x v="2"/>
    <x v="2"/>
    <n v="5"/>
    <n v="75000"/>
    <n v="64000"/>
    <n v="11000"/>
    <x v="1"/>
    <x v="1"/>
    <x v="0"/>
  </r>
  <r>
    <x v="11"/>
    <x v="2"/>
    <x v="3"/>
    <x v="3"/>
    <n v="3"/>
    <n v="45000"/>
    <n v="38000"/>
    <n v="7000"/>
    <x v="2"/>
    <x v="2"/>
    <x v="1"/>
  </r>
  <r>
    <x v="12"/>
    <x v="0"/>
    <x v="0"/>
    <x v="0"/>
    <n v="1"/>
    <n v="50000"/>
    <n v="42000"/>
    <n v="8000"/>
    <x v="2"/>
    <x v="2"/>
    <x v="2"/>
  </r>
  <r>
    <x v="13"/>
    <x v="1"/>
    <x v="1"/>
    <x v="1"/>
    <n v="7"/>
    <n v="105000"/>
    <n v="88000"/>
    <n v="17000"/>
    <x v="0"/>
    <x v="0"/>
    <x v="3"/>
  </r>
  <r>
    <x v="14"/>
    <x v="2"/>
    <x v="2"/>
    <x v="2"/>
    <n v="2"/>
    <n v="30000"/>
    <n v="25000"/>
    <n v="5000"/>
    <x v="2"/>
    <x v="2"/>
    <x v="1"/>
  </r>
  <r>
    <x v="15"/>
    <x v="0"/>
    <x v="3"/>
    <x v="3"/>
    <n v="4"/>
    <n v="200000"/>
    <n v="170000"/>
    <n v="30000"/>
    <x v="3"/>
    <x v="3"/>
    <x v="3"/>
  </r>
  <r>
    <x v="16"/>
    <x v="1"/>
    <x v="0"/>
    <x v="0"/>
    <n v="3"/>
    <n v="45000"/>
    <n v="38000"/>
    <n v="7000"/>
    <x v="2"/>
    <x v="2"/>
    <x v="1"/>
  </r>
  <r>
    <x v="17"/>
    <x v="2"/>
    <x v="1"/>
    <x v="1"/>
    <n v="5"/>
    <n v="75000"/>
    <n v="63000"/>
    <n v="12000"/>
    <x v="1"/>
    <x v="1"/>
    <x v="0"/>
  </r>
  <r>
    <x v="18"/>
    <x v="0"/>
    <x v="2"/>
    <x v="2"/>
    <n v="2"/>
    <n v="100000"/>
    <n v="85000"/>
    <n v="15000"/>
    <x v="0"/>
    <x v="0"/>
    <x v="0"/>
  </r>
  <r>
    <x v="19"/>
    <x v="1"/>
    <x v="3"/>
    <x v="3"/>
    <n v="4"/>
    <n v="60000"/>
    <n v="51000"/>
    <n v="9000"/>
    <x v="1"/>
    <x v="2"/>
    <x v="2"/>
  </r>
  <r>
    <x v="20"/>
    <x v="2"/>
    <x v="0"/>
    <x v="0"/>
    <n v="6"/>
    <n v="90000"/>
    <n v="76000"/>
    <n v="14000"/>
    <x v="0"/>
    <x v="1"/>
    <x v="0"/>
  </r>
  <r>
    <x v="21"/>
    <x v="0"/>
    <x v="1"/>
    <x v="1"/>
    <n v="3"/>
    <n v="150000"/>
    <n v="126000"/>
    <n v="24000"/>
    <x v="3"/>
    <x v="3"/>
    <x v="3"/>
  </r>
  <r>
    <x v="22"/>
    <x v="1"/>
    <x v="2"/>
    <x v="2"/>
    <n v="2"/>
    <n v="30000"/>
    <n v="25000"/>
    <n v="5000"/>
    <x v="2"/>
    <x v="2"/>
    <x v="1"/>
  </r>
  <r>
    <x v="23"/>
    <x v="2"/>
    <x v="3"/>
    <x v="3"/>
    <n v="4"/>
    <n v="60000"/>
    <n v="51000"/>
    <n v="9000"/>
    <x v="1"/>
    <x v="2"/>
    <x v="2"/>
  </r>
  <r>
    <x v="24"/>
    <x v="0"/>
    <x v="0"/>
    <x v="0"/>
    <n v="5"/>
    <n v="250000"/>
    <n v="212000"/>
    <n v="38000"/>
    <x v="3"/>
    <x v="3"/>
    <x v="3"/>
  </r>
  <r>
    <x v="25"/>
    <x v="1"/>
    <x v="1"/>
    <x v="1"/>
    <n v="3"/>
    <n v="45000"/>
    <n v="38000"/>
    <n v="7000"/>
    <x v="2"/>
    <x v="2"/>
    <x v="1"/>
  </r>
  <r>
    <x v="26"/>
    <x v="2"/>
    <x v="2"/>
    <x v="2"/>
    <n v="5"/>
    <n v="75000"/>
    <n v="63000"/>
    <n v="12000"/>
    <x v="1"/>
    <x v="1"/>
    <x v="0"/>
  </r>
  <r>
    <x v="27"/>
    <x v="0"/>
    <x v="3"/>
    <x v="3"/>
    <n v="2"/>
    <n v="100000"/>
    <n v="85000"/>
    <n v="15000"/>
    <x v="0"/>
    <x v="0"/>
    <x v="0"/>
  </r>
  <r>
    <x v="28"/>
    <x v="1"/>
    <x v="0"/>
    <x v="0"/>
    <n v="6"/>
    <n v="90000"/>
    <n v="76000"/>
    <n v="14000"/>
    <x v="0"/>
    <x v="1"/>
    <x v="0"/>
  </r>
  <r>
    <x v="29"/>
    <x v="2"/>
    <x v="1"/>
    <x v="1"/>
    <n v="3"/>
    <n v="45000"/>
    <n v="38000"/>
    <n v="7000"/>
    <x v="2"/>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D8D428-6B40-4E5E-BBE2-F2F9F25F80D9}" name="PivotTable9"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68:B72" firstHeaderRow="1" firstDataRow="1" firstDataCol="1"/>
  <pivotFields count="11">
    <pivotField numFmtId="15"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items count="4">
        <item x="0"/>
        <item x="1"/>
        <item x="2"/>
        <item t="default"/>
      </items>
    </pivotField>
    <pivotField showAll="0">
      <items count="5">
        <item x="2"/>
        <item x="0"/>
        <item x="1"/>
        <item x="3"/>
        <item t="default"/>
      </items>
    </pivotField>
    <pivotField showAll="0">
      <items count="5">
        <item x="3"/>
        <item x="2"/>
        <item x="1"/>
        <item x="0"/>
        <item t="default"/>
      </items>
    </pivotField>
    <pivotField showAll="0"/>
    <pivotField dataField="1" showAll="0"/>
    <pivotField showAll="0"/>
    <pivotField showAll="0"/>
    <pivotField showAll="0">
      <items count="5">
        <item x="1"/>
        <item x="0"/>
        <item x="3"/>
        <item x="2"/>
        <item t="default"/>
      </items>
    </pivotField>
    <pivotField showAll="0">
      <items count="5">
        <item x="1"/>
        <item x="0"/>
        <item x="3"/>
        <item x="2"/>
        <item t="default"/>
      </items>
    </pivotField>
    <pivotField showAll="0">
      <items count="5">
        <item x="2"/>
        <item x="0"/>
        <item x="3"/>
        <item x="1"/>
        <item t="default"/>
      </items>
    </pivotField>
  </pivotFields>
  <rowFields count="1">
    <field x="1"/>
  </rowFields>
  <rowItems count="4">
    <i>
      <x/>
    </i>
    <i>
      <x v="1"/>
    </i>
    <i>
      <x v="2"/>
    </i>
    <i t="grand">
      <x/>
    </i>
  </rowItems>
  <colItems count="1">
    <i/>
  </colItems>
  <dataFields count="1">
    <dataField name="Sum of Sales" fld="5"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CD8E86-7A07-4083-9ACC-9325545F6129}" name="PivotTable8"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2:B56" firstHeaderRow="1" firstDataRow="1" firstDataCol="1"/>
  <pivotFields count="11">
    <pivotField numFmtId="15" showAll="0"/>
    <pivotField axis="axisRow" showAll="0">
      <items count="4">
        <item x="0"/>
        <item x="1"/>
        <item x="2"/>
        <item t="default"/>
      </items>
    </pivotField>
    <pivotField showAll="0">
      <items count="5">
        <item x="2"/>
        <item x="0"/>
        <item x="1"/>
        <item x="3"/>
        <item t="default"/>
      </items>
    </pivotField>
    <pivotField showAll="0">
      <items count="5">
        <item x="3"/>
        <item x="2"/>
        <item x="1"/>
        <item x="0"/>
        <item t="default"/>
      </items>
    </pivotField>
    <pivotField showAll="0"/>
    <pivotField showAll="0"/>
    <pivotField dataField="1" showAll="0"/>
    <pivotField showAll="0"/>
    <pivotField showAll="0">
      <items count="5">
        <item x="1"/>
        <item x="0"/>
        <item x="3"/>
        <item x="2"/>
        <item t="default"/>
      </items>
    </pivotField>
    <pivotField showAll="0">
      <items count="5">
        <item x="1"/>
        <item x="0"/>
        <item x="3"/>
        <item x="2"/>
        <item t="default"/>
      </items>
    </pivotField>
    <pivotField showAll="0">
      <items count="5">
        <item x="2"/>
        <item x="0"/>
        <item x="3"/>
        <item x="1"/>
        <item t="default"/>
      </items>
    </pivotField>
  </pivotFields>
  <rowFields count="1">
    <field x="1"/>
  </rowFields>
  <rowItems count="4">
    <i>
      <x/>
    </i>
    <i>
      <x v="1"/>
    </i>
    <i>
      <x v="2"/>
    </i>
    <i t="grand">
      <x/>
    </i>
  </rowItems>
  <colItems count="1">
    <i/>
  </colItems>
  <dataFields count="1">
    <dataField name="Sum of Cost" fld="6" baseField="0" baseItem="0"/>
  </dataFields>
  <chartFormats count="5">
    <chartFormat chart="1"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 count="1" selected="0">
            <x v="0"/>
          </reference>
        </references>
      </pivotArea>
    </chartFormat>
    <chartFormat chart="7" format="7">
      <pivotArea type="data" outline="0" fieldPosition="0">
        <references count="2">
          <reference field="4294967294" count="1" selected="0">
            <x v="0"/>
          </reference>
          <reference field="1" count="1" selected="0">
            <x v="1"/>
          </reference>
        </references>
      </pivotArea>
    </chartFormat>
    <chartFormat chart="7"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792E7B-DDD8-4C77-8074-FE5D0BF27663}" name="PivotTable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5:B40" firstHeaderRow="1" firstDataRow="1" firstDataCol="1"/>
  <pivotFields count="11">
    <pivotField numFmtId="15" showAll="0"/>
    <pivotField showAll="0">
      <items count="4">
        <item x="0"/>
        <item x="1"/>
        <item x="2"/>
        <item t="default"/>
      </items>
    </pivotField>
    <pivotField showAll="0">
      <items count="5">
        <item x="2"/>
        <item x="0"/>
        <item x="1"/>
        <item x="3"/>
        <item t="default"/>
      </items>
    </pivotField>
    <pivotField axis="axisRow" showAll="0">
      <items count="5">
        <item x="3"/>
        <item x="2"/>
        <item x="1"/>
        <item x="0"/>
        <item t="default"/>
      </items>
    </pivotField>
    <pivotField showAll="0"/>
    <pivotField dataField="1" showAll="0"/>
    <pivotField showAll="0"/>
    <pivotField showAll="0"/>
    <pivotField showAll="0">
      <items count="5">
        <item x="1"/>
        <item x="0"/>
        <item x="3"/>
        <item x="2"/>
        <item t="default"/>
      </items>
    </pivotField>
    <pivotField showAll="0">
      <items count="5">
        <item x="1"/>
        <item x="0"/>
        <item x="3"/>
        <item x="2"/>
        <item t="default"/>
      </items>
    </pivotField>
    <pivotField showAll="0">
      <items count="5">
        <item x="2"/>
        <item x="0"/>
        <item x="3"/>
        <item x="1"/>
        <item t="default"/>
      </items>
    </pivotField>
  </pivotFields>
  <rowFields count="1">
    <field x="3"/>
  </rowFields>
  <rowItems count="5">
    <i>
      <x/>
    </i>
    <i>
      <x v="1"/>
    </i>
    <i>
      <x v="2"/>
    </i>
    <i>
      <x v="3"/>
    </i>
    <i t="grand">
      <x/>
    </i>
  </rowItems>
  <colItems count="1">
    <i/>
  </colItems>
  <dataFields count="1">
    <dataField name="Sum of Sales" fld="5"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3CD764-D894-4EF5-958D-888D08CD2515}"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9:B24" firstHeaderRow="1" firstDataRow="1" firstDataCol="1"/>
  <pivotFields count="11">
    <pivotField numFmtId="15" showAll="0"/>
    <pivotField showAll="0">
      <items count="4">
        <item x="0"/>
        <item x="1"/>
        <item x="2"/>
        <item t="default"/>
      </items>
    </pivotField>
    <pivotField axis="axisRow" showAll="0">
      <items count="5">
        <item x="2"/>
        <item x="0"/>
        <item x="1"/>
        <item x="3"/>
        <item t="default"/>
      </items>
    </pivotField>
    <pivotField showAll="0">
      <items count="5">
        <item x="3"/>
        <item x="2"/>
        <item x="1"/>
        <item x="0"/>
        <item t="default"/>
      </items>
    </pivotField>
    <pivotField showAll="0"/>
    <pivotField dataField="1" showAll="0"/>
    <pivotField showAll="0"/>
    <pivotField showAll="0"/>
    <pivotField showAll="0">
      <items count="5">
        <item x="1"/>
        <item x="0"/>
        <item x="3"/>
        <item x="2"/>
        <item t="default"/>
      </items>
    </pivotField>
    <pivotField showAll="0">
      <items count="5">
        <item x="1"/>
        <item x="0"/>
        <item x="3"/>
        <item x="2"/>
        <item t="default"/>
      </items>
    </pivotField>
    <pivotField showAll="0">
      <items count="5">
        <item x="2"/>
        <item x="0"/>
        <item x="3"/>
        <item x="1"/>
        <item t="default"/>
      </items>
    </pivotField>
  </pivotFields>
  <rowFields count="1">
    <field x="2"/>
  </rowFields>
  <rowItems count="5">
    <i>
      <x/>
    </i>
    <i>
      <x v="1"/>
    </i>
    <i>
      <x v="2"/>
    </i>
    <i>
      <x v="3"/>
    </i>
    <i t="grand">
      <x/>
    </i>
  </rowItems>
  <colItems count="1">
    <i/>
  </colItems>
  <dataFields count="1">
    <dataField name="Sum of Sales" fld="5" baseField="0" baseItem="0"/>
  </dataFields>
  <chartFormats count="6">
    <chartFormat chart="1"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2" count="1" selected="0">
            <x v="0"/>
          </reference>
        </references>
      </pivotArea>
    </chartFormat>
    <chartFormat chart="7" format="8">
      <pivotArea type="data" outline="0" fieldPosition="0">
        <references count="2">
          <reference field="4294967294" count="1" selected="0">
            <x v="0"/>
          </reference>
          <reference field="2" count="1" selected="0">
            <x v="1"/>
          </reference>
        </references>
      </pivotArea>
    </chartFormat>
    <chartFormat chart="7" format="9">
      <pivotArea type="data" outline="0" fieldPosition="0">
        <references count="2">
          <reference field="4294967294" count="1" selected="0">
            <x v="0"/>
          </reference>
          <reference field="2" count="1" selected="0">
            <x v="2"/>
          </reference>
        </references>
      </pivotArea>
    </chartFormat>
    <chartFormat chart="7"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F40488-BC34-4E78-A876-123C2E218A09}"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11">
    <pivotField numFmtId="15" showAll="0"/>
    <pivotField showAll="0"/>
    <pivotField axis="axisRow" showAll="0">
      <items count="5">
        <item x="2"/>
        <item x="0"/>
        <item x="1"/>
        <item x="3"/>
        <item t="default"/>
      </items>
    </pivotField>
    <pivotField showAll="0">
      <items count="5">
        <item x="3"/>
        <item x="2"/>
        <item x="1"/>
        <item x="0"/>
        <item t="default"/>
      </items>
    </pivotField>
    <pivotField showAll="0"/>
    <pivotField showAll="0"/>
    <pivotField showAll="0"/>
    <pivotField dataField="1" showAll="0"/>
    <pivotField showAll="0">
      <items count="5">
        <item x="1"/>
        <item x="0"/>
        <item x="3"/>
        <item x="2"/>
        <item t="default"/>
      </items>
    </pivotField>
    <pivotField showAll="0">
      <items count="5">
        <item x="1"/>
        <item x="0"/>
        <item x="3"/>
        <item x="2"/>
        <item t="default"/>
      </items>
    </pivotField>
    <pivotField showAll="0">
      <items count="5">
        <item x="2"/>
        <item x="0"/>
        <item x="3"/>
        <item x="1"/>
        <item t="default"/>
      </items>
    </pivotField>
  </pivotFields>
  <rowFields count="1">
    <field x="2"/>
  </rowFields>
  <rowItems count="5">
    <i>
      <x/>
    </i>
    <i>
      <x v="1"/>
    </i>
    <i>
      <x v="2"/>
    </i>
    <i>
      <x v="3"/>
    </i>
    <i t="grand">
      <x/>
    </i>
  </rowItems>
  <colItems count="1">
    <i/>
  </colItems>
  <dataFields count="1">
    <dataField name="Sum of Profit" fld="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_Bins" xr10:uid="{F40226C7-6DEB-439A-B837-C4CE65ECC745}" sourceName="Profit Bins">
  <pivotTables>
    <pivotTable tabId="3" name="PivotTable5"/>
    <pivotTable tabId="3" name="PivotTable6"/>
    <pivotTable tabId="3" name="PivotTable7"/>
    <pivotTable tabId="3" name="PivotTable8"/>
    <pivotTable tabId="3" name="PivotTable9"/>
  </pivotTables>
  <data>
    <tabular pivotCacheId="207891457">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Bins" xr10:uid="{04E4B532-6892-4542-8B52-CB5844412347}" sourceName="Sales Bins">
  <pivotTables>
    <pivotTable tabId="3" name="PivotTable6"/>
    <pivotTable tabId="3" name="PivotTable5"/>
    <pivotTable tabId="3" name="PivotTable7"/>
    <pivotTable tabId="3" name="PivotTable8"/>
    <pivotTable tabId="3" name="PivotTable9"/>
  </pivotTables>
  <data>
    <tabular pivotCacheId="207891457">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C71AD49D-EF57-4AC5-BE0C-65FA6D4274E3}" sourceName="Salesperson">
  <pivotTables>
    <pivotTable tabId="3" name="PivotTable7"/>
    <pivotTable tabId="3" name="PivotTable5"/>
    <pivotTable tabId="3" name="PivotTable6"/>
    <pivotTable tabId="3" name="PivotTable8"/>
    <pivotTable tabId="3" name="PivotTable9"/>
  </pivotTables>
  <data>
    <tabular pivotCacheId="207891457">
      <items count="4">
        <i x="3"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st_Bins" xr10:uid="{CB669473-65C6-44F1-93C2-59EB5EAB5CA8}" sourceName="Cost Bins">
  <pivotTables>
    <pivotTable tabId="3" name="PivotTable8"/>
    <pivotTable tabId="3" name="PivotTable5"/>
    <pivotTable tabId="3" name="PivotTable6"/>
    <pivotTable tabId="3" name="PivotTable7"/>
    <pivotTable tabId="3" name="PivotTable9"/>
  </pivotTables>
  <data>
    <tabular pivotCacheId="207891457">
      <items count="4">
        <i x="1" s="1"/>
        <i x="0" s="1"/>
        <i x="3"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F8DBA98-6C81-4E5C-A587-C154B815294E}" sourceName="Region">
  <pivotTables>
    <pivotTable tabId="3" name="PivotTable9"/>
    <pivotTable tabId="3" name="PivotTable5"/>
    <pivotTable tabId="3" name="PivotTable6"/>
    <pivotTable tabId="3" name="PivotTable7"/>
    <pivotTable tabId="3" name="PivotTable8"/>
  </pivotTables>
  <data>
    <tabular pivotCacheId="207891457">
      <items count="4">
        <i x="2" s="1"/>
        <i x="0" s="1"/>
        <i x="1"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B8BCCC5-1640-47C2-84B8-73E0127E05AC}" sourceName="Product">
  <pivotTables>
    <pivotTable tabId="3" name="PivotTable9"/>
    <pivotTable tabId="3" name="PivotTable6"/>
    <pivotTable tabId="3" name="PivotTable7"/>
    <pivotTable tabId="3" name="PivotTable8"/>
  </pivotTables>
  <data>
    <tabular pivotCacheId="20789145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fit Bins" xr10:uid="{C8D80230-C10C-454C-8A35-C1D379A9F61F}" cache="Slicer_Profit_Bins" caption="Profit Bins" rowHeight="234950"/>
  <slicer name="Profit Bins 1" xr10:uid="{F38C70F9-D48C-4513-80B2-7DEE1E81FABC}" cache="Slicer_Profit_Bins" caption="Profit Bins" rowHeight="234950"/>
  <slicer name="Sales Bins" xr10:uid="{AD9A739D-C361-489E-BB5D-EE2B4EB72ABA}" cache="Slicer_Sales_Bins" caption="Sales Bins" rowHeight="234950"/>
  <slicer name="Sales Bins 1" xr10:uid="{E99B961A-FE8B-4A92-AED3-673DED305ACB}" cache="Slicer_Sales_Bins" caption="Sales Bins" rowHeight="234950"/>
  <slicer name="Salesperson" xr10:uid="{A166C78D-3833-4D3D-AD41-43B575DC4DE2}" cache="Slicer_Salesperson" caption="Salesperson" rowHeight="234950"/>
  <slicer name="Salesperson 1" xr10:uid="{A8E7FE66-8668-4EF8-A329-56BA53BDC969}" cache="Slicer_Salesperson" caption="Salesperson" rowHeight="234950"/>
  <slicer name="Cost Bins" xr10:uid="{7A5DD367-79DC-4720-A209-D133D4CA6A73}" cache="Slicer_Cost_Bins" caption="Cost Bins" rowHeight="234950"/>
  <slicer name="Cost Bins 1" xr10:uid="{DE234614-F058-4E29-8F74-F8900DB920D9}" cache="Slicer_Cost_Bins" caption="Cost Bins" rowHeight="234950"/>
  <slicer name="Region" xr10:uid="{62482C76-113A-4A6D-A57D-0177BE4D4223}" cache="Slicer_Region" caption="Region" rowHeight="234950"/>
  <slicer name="Region 1" xr10:uid="{6843FDD0-472C-40D4-A9EB-E109F5F2EE99}" cache="Slicer_Region" caption="Region" rowHeight="234950"/>
  <slicer name="Product" xr10:uid="{4667E7C6-F5AD-46F3-A697-CC02BC60B580}" cache="Slicer_Product" caption="Product" rowHeight="234950"/>
  <slicer name="Product 1" xr10:uid="{861B5B84-9B03-4404-88E3-BA49DB25DC4A}" cache="Slicer_Product"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49A0-3EE2-47FB-AD1A-A7D988484F69}">
  <dimension ref="A2:AN72"/>
  <sheetViews>
    <sheetView showGridLines="0" showRowColHeaders="0" tabSelected="1" topLeftCell="R1" zoomScale="90" zoomScaleNormal="90" workbookViewId="0">
      <selection activeCell="R20" sqref="R20"/>
    </sheetView>
  </sheetViews>
  <sheetFormatPr defaultRowHeight="14.4" x14ac:dyDescent="0.3"/>
  <cols>
    <col min="1" max="1" width="13.44140625" bestFit="1" customWidth="1"/>
    <col min="2" max="2" width="12.109375" bestFit="1" customWidth="1"/>
    <col min="3" max="3" width="11.6640625" bestFit="1" customWidth="1"/>
  </cols>
  <sheetData>
    <row r="2" spans="1:40" x14ac:dyDescent="0.3">
      <c r="T2" s="8"/>
      <c r="U2" s="8"/>
      <c r="V2" s="8"/>
      <c r="W2" s="8"/>
      <c r="X2" s="8"/>
      <c r="Y2" s="8"/>
      <c r="Z2" s="8"/>
      <c r="AA2" s="8"/>
      <c r="AB2" s="8"/>
      <c r="AC2" s="8"/>
      <c r="AD2" s="8"/>
      <c r="AE2" s="8"/>
      <c r="AF2" s="8"/>
      <c r="AG2" s="8"/>
      <c r="AH2" s="8"/>
      <c r="AI2" s="8"/>
      <c r="AJ2" s="8"/>
      <c r="AK2" s="8"/>
      <c r="AL2" s="9"/>
      <c r="AM2" s="9"/>
    </row>
    <row r="3" spans="1:40" x14ac:dyDescent="0.3">
      <c r="A3" s="4" t="s">
        <v>19</v>
      </c>
      <c r="B3" t="s">
        <v>20</v>
      </c>
      <c r="T3" s="8"/>
      <c r="U3" s="8"/>
      <c r="V3" s="8"/>
      <c r="W3" s="8"/>
      <c r="X3" s="8"/>
      <c r="Y3" s="8"/>
      <c r="Z3" s="8"/>
      <c r="AA3" s="8"/>
      <c r="AB3" s="8"/>
      <c r="AC3" s="8"/>
      <c r="AD3" s="8"/>
      <c r="AE3" s="8"/>
      <c r="AF3" s="8"/>
      <c r="AG3" s="8"/>
      <c r="AH3" s="8"/>
      <c r="AI3" s="8"/>
      <c r="AJ3" s="8"/>
      <c r="AK3" s="8"/>
      <c r="AL3" s="9"/>
      <c r="AM3" s="9"/>
    </row>
    <row r="4" spans="1:40" x14ac:dyDescent="0.3">
      <c r="A4" s="5" t="s">
        <v>14</v>
      </c>
      <c r="B4" s="6">
        <v>78000</v>
      </c>
      <c r="T4" s="8"/>
      <c r="U4" s="8"/>
      <c r="V4" s="8"/>
      <c r="W4" s="8"/>
      <c r="X4" s="8"/>
      <c r="Y4" s="8"/>
      <c r="Z4" s="8"/>
      <c r="AA4" s="8"/>
      <c r="AB4" s="8"/>
      <c r="AC4" s="8"/>
      <c r="AD4" s="8"/>
      <c r="AE4" s="8"/>
      <c r="AF4" s="8"/>
      <c r="AG4" s="8"/>
      <c r="AH4" s="8"/>
      <c r="AI4" s="8"/>
      <c r="AJ4" s="8"/>
      <c r="AK4" s="8"/>
      <c r="AL4" s="9"/>
      <c r="AM4" s="9"/>
    </row>
    <row r="5" spans="1:40" x14ac:dyDescent="0.3">
      <c r="A5" s="5" t="s">
        <v>8</v>
      </c>
      <c r="B5" s="6">
        <v>115000</v>
      </c>
      <c r="T5" s="10"/>
      <c r="U5" s="10"/>
      <c r="V5" s="10"/>
      <c r="W5" s="10"/>
      <c r="X5" s="10"/>
      <c r="Y5" s="10"/>
      <c r="Z5" s="10"/>
      <c r="AA5" s="10"/>
      <c r="AB5" s="10"/>
      <c r="AC5" s="10"/>
      <c r="AD5" s="10"/>
      <c r="AE5" s="10"/>
      <c r="AF5" s="10"/>
      <c r="AG5" s="10"/>
      <c r="AH5" s="10"/>
      <c r="AI5" s="10"/>
      <c r="AJ5" s="10"/>
      <c r="AK5" s="10"/>
      <c r="AL5" s="10"/>
      <c r="AM5" s="10"/>
      <c r="AN5" s="10"/>
    </row>
    <row r="6" spans="1:40" x14ac:dyDescent="0.3">
      <c r="A6" s="5" t="s">
        <v>11</v>
      </c>
      <c r="B6" s="6">
        <v>100000</v>
      </c>
      <c r="T6" s="10"/>
      <c r="U6" s="10"/>
      <c r="V6" s="10"/>
      <c r="W6" s="10"/>
      <c r="X6" s="10"/>
      <c r="Y6" s="10"/>
      <c r="Z6" s="10"/>
      <c r="AA6" s="10"/>
      <c r="AB6" s="10"/>
      <c r="AC6" s="10"/>
      <c r="AD6" s="10"/>
      <c r="AE6" s="10"/>
      <c r="AF6" s="10"/>
      <c r="AG6" s="10"/>
      <c r="AH6" s="10"/>
      <c r="AI6" s="10"/>
      <c r="AJ6" s="10"/>
      <c r="AK6" s="10"/>
      <c r="AL6" s="10"/>
      <c r="AM6" s="10"/>
      <c r="AN6" s="10"/>
    </row>
    <row r="7" spans="1:40" x14ac:dyDescent="0.3">
      <c r="A7" s="5" t="s">
        <v>16</v>
      </c>
      <c r="B7" s="6">
        <v>91000</v>
      </c>
      <c r="T7" s="10"/>
      <c r="U7" s="10"/>
      <c r="V7" s="10"/>
      <c r="W7" s="10"/>
      <c r="X7" s="10"/>
      <c r="Y7" s="10"/>
      <c r="Z7" s="10"/>
      <c r="AA7" s="10"/>
      <c r="AB7" s="10"/>
      <c r="AC7" s="10"/>
      <c r="AD7" s="10"/>
      <c r="AE7" s="10"/>
      <c r="AF7" s="10"/>
      <c r="AG7" s="10"/>
      <c r="AH7" s="10"/>
      <c r="AI7" s="10"/>
      <c r="AJ7" s="10"/>
      <c r="AK7" s="10"/>
      <c r="AL7" s="10"/>
      <c r="AM7" s="10"/>
      <c r="AN7" s="10"/>
    </row>
    <row r="8" spans="1:40" x14ac:dyDescent="0.3">
      <c r="A8" s="5" t="s">
        <v>21</v>
      </c>
      <c r="B8" s="6">
        <v>384000</v>
      </c>
      <c r="T8" s="10"/>
      <c r="U8" s="10"/>
      <c r="V8" s="10"/>
      <c r="W8" s="10"/>
      <c r="X8" s="10"/>
      <c r="Y8" s="10"/>
      <c r="Z8" s="10"/>
      <c r="AA8" s="10"/>
      <c r="AB8" s="10"/>
      <c r="AC8" s="10"/>
      <c r="AD8" s="10"/>
      <c r="AE8" s="10"/>
      <c r="AF8" s="10"/>
      <c r="AG8" s="10"/>
      <c r="AH8" s="10"/>
      <c r="AI8" s="10"/>
      <c r="AJ8" s="10"/>
      <c r="AK8" s="10"/>
      <c r="AL8" s="10"/>
      <c r="AM8" s="10"/>
      <c r="AN8" s="10"/>
    </row>
    <row r="9" spans="1:40" x14ac:dyDescent="0.3">
      <c r="T9" s="10"/>
      <c r="U9" s="10"/>
      <c r="V9" s="10"/>
      <c r="W9" s="10"/>
      <c r="X9" s="10"/>
      <c r="Y9" s="10"/>
      <c r="Z9" s="10"/>
      <c r="AA9" s="10"/>
      <c r="AB9" s="10"/>
      <c r="AC9" s="10"/>
      <c r="AD9" s="10"/>
      <c r="AE9" s="10"/>
      <c r="AF9" s="10"/>
      <c r="AG9" s="10"/>
      <c r="AH9" s="10"/>
      <c r="AI9" s="10"/>
      <c r="AJ9" s="10"/>
      <c r="AK9" s="10"/>
      <c r="AL9" s="10"/>
      <c r="AM9" s="10"/>
      <c r="AN9" s="10"/>
    </row>
    <row r="10" spans="1:40" x14ac:dyDescent="0.3">
      <c r="T10" s="10"/>
      <c r="U10" s="10"/>
      <c r="V10" s="10"/>
      <c r="W10" s="10"/>
      <c r="X10" s="10"/>
      <c r="Y10" s="10"/>
      <c r="Z10" s="10"/>
      <c r="AA10" s="10"/>
      <c r="AB10" s="10"/>
      <c r="AC10" s="10"/>
      <c r="AD10" s="10"/>
      <c r="AE10" s="10"/>
      <c r="AF10" s="10"/>
      <c r="AG10" s="10"/>
      <c r="AH10" s="10"/>
      <c r="AI10" s="10"/>
      <c r="AJ10" s="10"/>
      <c r="AK10" s="10"/>
      <c r="AL10" s="10"/>
      <c r="AM10" s="10"/>
      <c r="AN10" s="10"/>
    </row>
    <row r="11" spans="1:40" x14ac:dyDescent="0.3">
      <c r="T11" s="10"/>
      <c r="U11" s="10"/>
      <c r="V11" s="10"/>
      <c r="W11" s="10"/>
      <c r="X11" s="10"/>
      <c r="Y11" s="10"/>
      <c r="Z11" s="10"/>
      <c r="AA11" s="10"/>
      <c r="AB11" s="10"/>
      <c r="AC11" s="10"/>
      <c r="AD11" s="10"/>
      <c r="AE11" s="10"/>
      <c r="AF11" s="10"/>
      <c r="AG11" s="10"/>
      <c r="AH11" s="10"/>
      <c r="AI11" s="10"/>
      <c r="AJ11" s="10"/>
      <c r="AK11" s="10"/>
      <c r="AL11" s="10"/>
      <c r="AM11" s="10"/>
      <c r="AN11" s="10"/>
    </row>
    <row r="12" spans="1:40" x14ac:dyDescent="0.3">
      <c r="T12" s="10"/>
      <c r="U12" s="10"/>
      <c r="V12" s="10"/>
      <c r="W12" s="10"/>
      <c r="X12" s="10"/>
      <c r="Y12" s="10"/>
      <c r="Z12" s="10"/>
      <c r="AA12" s="10"/>
      <c r="AB12" s="10"/>
      <c r="AC12" s="10"/>
      <c r="AD12" s="10"/>
      <c r="AE12" s="10"/>
      <c r="AF12" s="10"/>
      <c r="AG12" s="10"/>
      <c r="AH12" s="10"/>
      <c r="AI12" s="10"/>
      <c r="AJ12" s="10"/>
      <c r="AK12" s="10"/>
      <c r="AL12" s="10"/>
      <c r="AM12" s="10"/>
      <c r="AN12" s="10"/>
    </row>
    <row r="13" spans="1:40" x14ac:dyDescent="0.3">
      <c r="T13" s="10"/>
      <c r="U13" s="10"/>
      <c r="V13" s="10"/>
      <c r="W13" s="10"/>
      <c r="X13" s="10"/>
      <c r="Y13" s="10"/>
      <c r="Z13" s="10"/>
      <c r="AA13" s="10"/>
      <c r="AB13" s="10"/>
      <c r="AC13" s="10"/>
      <c r="AD13" s="10"/>
      <c r="AE13" s="10"/>
      <c r="AF13" s="10"/>
      <c r="AG13" s="10"/>
      <c r="AH13" s="10"/>
      <c r="AI13" s="10"/>
      <c r="AJ13" s="10"/>
      <c r="AK13" s="10"/>
      <c r="AL13" s="10"/>
      <c r="AM13" s="10"/>
      <c r="AN13" s="10"/>
    </row>
    <row r="14" spans="1:40" x14ac:dyDescent="0.3">
      <c r="T14" s="10"/>
      <c r="U14" s="10"/>
      <c r="V14" s="10"/>
      <c r="W14" s="10"/>
      <c r="X14" s="10"/>
      <c r="Y14" s="10"/>
      <c r="Z14" s="10"/>
      <c r="AA14" s="10"/>
      <c r="AB14" s="10"/>
      <c r="AC14" s="10"/>
      <c r="AD14" s="10"/>
      <c r="AE14" s="10"/>
      <c r="AF14" s="10"/>
      <c r="AG14" s="10"/>
      <c r="AH14" s="10"/>
      <c r="AI14" s="10"/>
      <c r="AJ14" s="10"/>
      <c r="AK14" s="10"/>
      <c r="AL14" s="10"/>
      <c r="AM14" s="10"/>
      <c r="AN14" s="10"/>
    </row>
    <row r="15" spans="1:40" x14ac:dyDescent="0.3">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3">
      <c r="T16" s="10"/>
      <c r="U16" s="10"/>
      <c r="V16" s="10"/>
      <c r="W16" s="10"/>
      <c r="X16" s="10"/>
      <c r="Y16" s="10"/>
      <c r="Z16" s="10"/>
      <c r="AA16" s="10"/>
      <c r="AB16" s="10"/>
      <c r="AC16" s="10"/>
      <c r="AD16" s="10"/>
      <c r="AE16" s="10"/>
      <c r="AF16" s="10"/>
      <c r="AG16" s="10"/>
      <c r="AH16" s="10"/>
      <c r="AI16" s="10"/>
      <c r="AJ16" s="10"/>
      <c r="AK16" s="10"/>
      <c r="AL16" s="10"/>
      <c r="AM16" s="10"/>
      <c r="AN16" s="10"/>
    </row>
    <row r="17" spans="1:40" x14ac:dyDescent="0.3">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3">
      <c r="T18" s="10"/>
      <c r="U18" s="10"/>
      <c r="V18" s="10"/>
      <c r="W18" s="10"/>
      <c r="X18" s="10"/>
      <c r="Y18" s="10"/>
      <c r="Z18" s="10"/>
      <c r="AA18" s="10"/>
      <c r="AB18" s="10"/>
      <c r="AC18" s="10"/>
      <c r="AD18" s="10"/>
      <c r="AE18" s="10"/>
      <c r="AF18" s="10"/>
      <c r="AG18" s="10"/>
      <c r="AH18" s="10"/>
      <c r="AI18" s="10"/>
      <c r="AJ18" s="10"/>
      <c r="AK18" s="10"/>
      <c r="AL18" s="10"/>
      <c r="AM18" s="10"/>
      <c r="AN18" s="10"/>
    </row>
    <row r="19" spans="1:40" x14ac:dyDescent="0.3">
      <c r="A19" s="4" t="s">
        <v>19</v>
      </c>
      <c r="B19" t="s">
        <v>22</v>
      </c>
      <c r="T19" s="10"/>
      <c r="U19" s="10"/>
      <c r="V19" s="10"/>
      <c r="W19" s="10"/>
      <c r="X19" s="10"/>
      <c r="Y19" s="10"/>
      <c r="Z19" s="10"/>
      <c r="AA19" s="10"/>
      <c r="AB19" s="10"/>
      <c r="AC19" s="10"/>
      <c r="AD19" s="10"/>
      <c r="AE19" s="10"/>
      <c r="AF19" s="10"/>
      <c r="AG19" s="10"/>
      <c r="AH19" s="10"/>
      <c r="AI19" s="10"/>
      <c r="AJ19" s="10"/>
      <c r="AK19" s="10"/>
      <c r="AL19" s="10"/>
      <c r="AM19" s="10"/>
      <c r="AN19" s="10"/>
    </row>
    <row r="20" spans="1:40" x14ac:dyDescent="0.3">
      <c r="A20" s="5" t="s">
        <v>14</v>
      </c>
      <c r="B20" s="6">
        <v>505000</v>
      </c>
      <c r="T20" s="10"/>
      <c r="U20" s="10"/>
      <c r="V20" s="10"/>
      <c r="W20" s="10"/>
      <c r="X20" s="10"/>
      <c r="Y20" s="10"/>
      <c r="Z20" s="10"/>
      <c r="AA20" s="10"/>
      <c r="AB20" s="10"/>
      <c r="AC20" s="10"/>
      <c r="AD20" s="10"/>
      <c r="AE20" s="10"/>
      <c r="AF20" s="10"/>
      <c r="AG20" s="10"/>
      <c r="AH20" s="10"/>
      <c r="AI20" s="10"/>
      <c r="AJ20" s="10"/>
      <c r="AK20" s="10"/>
      <c r="AL20" s="10"/>
      <c r="AM20" s="10"/>
      <c r="AN20" s="10"/>
    </row>
    <row r="21" spans="1:40" x14ac:dyDescent="0.3">
      <c r="A21" s="5" t="s">
        <v>8</v>
      </c>
      <c r="B21" s="6">
        <v>745000</v>
      </c>
      <c r="T21" s="10"/>
      <c r="U21" s="10"/>
      <c r="V21" s="10"/>
      <c r="W21" s="10"/>
      <c r="X21" s="10"/>
      <c r="Y21" s="10"/>
      <c r="Z21" s="10"/>
      <c r="AA21" s="10"/>
      <c r="AB21" s="10"/>
      <c r="AC21" s="10"/>
      <c r="AD21" s="10"/>
      <c r="AE21" s="10"/>
      <c r="AF21" s="10"/>
      <c r="AG21" s="10"/>
      <c r="AH21" s="10"/>
      <c r="AI21" s="10"/>
      <c r="AJ21" s="10"/>
      <c r="AK21" s="10"/>
      <c r="AL21" s="10"/>
      <c r="AM21" s="10"/>
      <c r="AN21" s="10"/>
    </row>
    <row r="22" spans="1:40" x14ac:dyDescent="0.3">
      <c r="A22" s="5" t="s">
        <v>11</v>
      </c>
      <c r="B22" s="6">
        <v>625000</v>
      </c>
      <c r="T22" s="10"/>
      <c r="U22" s="10"/>
      <c r="V22" s="10"/>
      <c r="W22" s="10"/>
      <c r="X22" s="10"/>
      <c r="Y22" s="10"/>
      <c r="Z22" s="10"/>
      <c r="AA22" s="10"/>
      <c r="AB22" s="10"/>
      <c r="AC22" s="10"/>
      <c r="AD22" s="10"/>
      <c r="AE22" s="10"/>
      <c r="AF22" s="10"/>
      <c r="AG22" s="10"/>
      <c r="AH22" s="10"/>
      <c r="AI22" s="10"/>
      <c r="AJ22" s="10"/>
      <c r="AK22" s="10"/>
      <c r="AL22" s="10"/>
      <c r="AM22" s="10"/>
      <c r="AN22" s="10"/>
    </row>
    <row r="23" spans="1:40" x14ac:dyDescent="0.3">
      <c r="A23" s="5" t="s">
        <v>16</v>
      </c>
      <c r="B23" s="6">
        <v>605000</v>
      </c>
      <c r="T23" s="10"/>
      <c r="U23" s="10"/>
      <c r="V23" s="10"/>
      <c r="W23" s="10"/>
      <c r="X23" s="10"/>
      <c r="Y23" s="10"/>
      <c r="Z23" s="10"/>
      <c r="AA23" s="10"/>
      <c r="AB23" s="10"/>
      <c r="AC23" s="10"/>
      <c r="AD23" s="10"/>
      <c r="AE23" s="10"/>
      <c r="AF23" s="10"/>
      <c r="AG23" s="10"/>
      <c r="AH23" s="10"/>
      <c r="AI23" s="10"/>
      <c r="AJ23" s="10"/>
      <c r="AK23" s="10"/>
      <c r="AL23" s="10"/>
      <c r="AM23" s="10"/>
      <c r="AN23" s="10"/>
    </row>
    <row r="24" spans="1:40" x14ac:dyDescent="0.3">
      <c r="A24" s="5" t="s">
        <v>21</v>
      </c>
      <c r="B24" s="6">
        <v>2480000</v>
      </c>
      <c r="T24" s="10"/>
      <c r="U24" s="10"/>
      <c r="V24" s="10"/>
      <c r="W24" s="10"/>
      <c r="X24" s="10"/>
      <c r="Y24" s="10"/>
      <c r="Z24" s="10"/>
      <c r="AA24" s="10"/>
      <c r="AB24" s="10"/>
      <c r="AC24" s="10"/>
      <c r="AD24" s="10"/>
      <c r="AE24" s="10"/>
      <c r="AF24" s="10"/>
      <c r="AG24" s="10"/>
      <c r="AH24" s="10"/>
      <c r="AI24" s="10"/>
      <c r="AJ24" s="10"/>
      <c r="AK24" s="10"/>
      <c r="AL24" s="10"/>
      <c r="AM24" s="10"/>
      <c r="AN24" s="10"/>
    </row>
    <row r="25" spans="1:40" x14ac:dyDescent="0.3">
      <c r="T25" s="10"/>
      <c r="U25" s="10"/>
      <c r="V25" s="10"/>
      <c r="W25" s="10"/>
      <c r="X25" s="10"/>
      <c r="Y25" s="10"/>
      <c r="Z25" s="10"/>
      <c r="AA25" s="10"/>
      <c r="AB25" s="10"/>
      <c r="AC25" s="10"/>
      <c r="AD25" s="10"/>
      <c r="AE25" s="10"/>
      <c r="AF25" s="10"/>
      <c r="AG25" s="10"/>
      <c r="AH25" s="10"/>
      <c r="AI25" s="10"/>
      <c r="AJ25" s="10"/>
      <c r="AK25" s="10"/>
      <c r="AL25" s="10"/>
      <c r="AM25" s="10"/>
      <c r="AN25" s="10"/>
    </row>
    <row r="26" spans="1:40" x14ac:dyDescent="0.3">
      <c r="T26" s="10"/>
      <c r="U26" s="10"/>
      <c r="V26" s="10"/>
      <c r="W26" s="10"/>
      <c r="X26" s="10"/>
      <c r="Y26" s="10"/>
      <c r="Z26" s="10"/>
      <c r="AA26" s="10"/>
      <c r="AB26" s="10"/>
      <c r="AC26" s="10"/>
      <c r="AD26" s="10"/>
      <c r="AE26" s="10"/>
      <c r="AF26" s="10"/>
      <c r="AG26" s="10"/>
      <c r="AH26" s="10"/>
      <c r="AI26" s="10"/>
      <c r="AJ26" s="10"/>
      <c r="AK26" s="10"/>
      <c r="AL26" s="10"/>
      <c r="AM26" s="10"/>
      <c r="AN26" s="10"/>
    </row>
    <row r="27" spans="1:40" x14ac:dyDescent="0.3">
      <c r="T27" s="10"/>
      <c r="U27" s="10"/>
      <c r="V27" s="10"/>
      <c r="W27" s="10"/>
      <c r="X27" s="10"/>
      <c r="Y27" s="10"/>
      <c r="Z27" s="10"/>
      <c r="AA27" s="10"/>
      <c r="AB27" s="10"/>
      <c r="AC27" s="10"/>
      <c r="AD27" s="10"/>
      <c r="AE27" s="10"/>
      <c r="AF27" s="10"/>
      <c r="AG27" s="10"/>
      <c r="AH27" s="10"/>
      <c r="AI27" s="10"/>
      <c r="AJ27" s="10"/>
      <c r="AK27" s="10"/>
      <c r="AL27" s="10"/>
      <c r="AM27" s="10"/>
      <c r="AN27" s="10"/>
    </row>
    <row r="28" spans="1:40" x14ac:dyDescent="0.3">
      <c r="T28" s="10"/>
      <c r="U28" s="10"/>
      <c r="V28" s="10"/>
      <c r="W28" s="10"/>
      <c r="X28" s="10"/>
      <c r="Y28" s="10"/>
      <c r="Z28" s="10"/>
      <c r="AA28" s="10"/>
      <c r="AB28" s="10"/>
      <c r="AC28" s="10"/>
      <c r="AD28" s="10"/>
      <c r="AE28" s="10"/>
      <c r="AF28" s="10"/>
      <c r="AG28" s="10"/>
      <c r="AH28" s="10"/>
      <c r="AI28" s="10"/>
      <c r="AJ28" s="10"/>
      <c r="AK28" s="10"/>
      <c r="AL28" s="10"/>
      <c r="AM28" s="10"/>
      <c r="AN28" s="10"/>
    </row>
    <row r="29" spans="1:40" x14ac:dyDescent="0.3">
      <c r="T29" s="10"/>
      <c r="U29" s="10"/>
      <c r="V29" s="10"/>
      <c r="W29" s="10"/>
      <c r="X29" s="10"/>
      <c r="Y29" s="10"/>
      <c r="Z29" s="10"/>
      <c r="AA29" s="10"/>
      <c r="AB29" s="10"/>
      <c r="AC29" s="10"/>
      <c r="AD29" s="10"/>
      <c r="AE29" s="10"/>
      <c r="AF29" s="10"/>
      <c r="AG29" s="10"/>
      <c r="AH29" s="10"/>
      <c r="AI29" s="10"/>
      <c r="AJ29" s="10"/>
      <c r="AK29" s="10"/>
      <c r="AL29" s="10"/>
      <c r="AM29" s="10"/>
      <c r="AN29" s="10"/>
    </row>
    <row r="30" spans="1:40" x14ac:dyDescent="0.3">
      <c r="T30" s="10"/>
      <c r="U30" s="10"/>
      <c r="V30" s="10"/>
      <c r="W30" s="10"/>
      <c r="X30" s="10"/>
      <c r="Y30" s="10"/>
      <c r="Z30" s="10"/>
      <c r="AA30" s="10"/>
      <c r="AB30" s="10"/>
      <c r="AC30" s="10"/>
      <c r="AD30" s="10"/>
      <c r="AE30" s="10"/>
      <c r="AF30" s="10"/>
      <c r="AG30" s="10"/>
      <c r="AH30" s="10"/>
      <c r="AI30" s="10"/>
      <c r="AJ30" s="10"/>
      <c r="AK30" s="10"/>
      <c r="AL30" s="10"/>
      <c r="AM30" s="10"/>
      <c r="AN30" s="10"/>
    </row>
    <row r="31" spans="1:40" x14ac:dyDescent="0.3">
      <c r="T31" s="10"/>
      <c r="U31" s="10"/>
      <c r="V31" s="10"/>
      <c r="W31" s="10"/>
      <c r="X31" s="10"/>
      <c r="Y31" s="10"/>
      <c r="Z31" s="10"/>
      <c r="AA31" s="10"/>
      <c r="AB31" s="10"/>
      <c r="AC31" s="10"/>
      <c r="AD31" s="10"/>
      <c r="AE31" s="10"/>
      <c r="AF31" s="10"/>
      <c r="AG31" s="10"/>
      <c r="AH31" s="10"/>
      <c r="AI31" s="10"/>
      <c r="AJ31" s="10"/>
      <c r="AK31" s="10"/>
      <c r="AL31" s="10"/>
      <c r="AM31" s="10"/>
      <c r="AN31" s="10"/>
    </row>
    <row r="32" spans="1:40" x14ac:dyDescent="0.3">
      <c r="T32" s="10"/>
      <c r="U32" s="10"/>
      <c r="V32" s="10"/>
      <c r="W32" s="10"/>
      <c r="X32" s="10"/>
      <c r="Y32" s="10"/>
      <c r="Z32" s="10"/>
      <c r="AA32" s="10"/>
      <c r="AB32" s="10"/>
      <c r="AC32" s="10"/>
      <c r="AD32" s="10"/>
      <c r="AE32" s="10"/>
      <c r="AF32" s="10"/>
      <c r="AG32" s="10"/>
      <c r="AH32" s="10"/>
      <c r="AI32" s="10"/>
      <c r="AJ32" s="10"/>
      <c r="AK32" s="10"/>
      <c r="AL32" s="10"/>
      <c r="AM32" s="10"/>
      <c r="AN32" s="10"/>
    </row>
    <row r="33" spans="1:40" x14ac:dyDescent="0.3">
      <c r="T33" s="10"/>
      <c r="U33" s="10"/>
      <c r="V33" s="10"/>
      <c r="W33" s="10"/>
      <c r="X33" s="10"/>
      <c r="Y33" s="10"/>
      <c r="Z33" s="10"/>
      <c r="AA33" s="10"/>
      <c r="AB33" s="10"/>
      <c r="AC33" s="10"/>
      <c r="AD33" s="10"/>
      <c r="AE33" s="10"/>
      <c r="AF33" s="10"/>
      <c r="AG33" s="10"/>
      <c r="AH33" s="10"/>
      <c r="AI33" s="10"/>
      <c r="AJ33" s="10"/>
      <c r="AK33" s="10"/>
      <c r="AL33" s="10"/>
      <c r="AM33" s="10"/>
      <c r="AN33" s="10"/>
    </row>
    <row r="34" spans="1:40" x14ac:dyDescent="0.3">
      <c r="T34" s="10"/>
      <c r="U34" s="10"/>
      <c r="V34" s="10"/>
      <c r="W34" s="10"/>
      <c r="X34" s="10"/>
      <c r="Y34" s="10"/>
      <c r="Z34" s="10"/>
      <c r="AA34" s="10"/>
      <c r="AB34" s="10"/>
      <c r="AC34" s="10"/>
      <c r="AD34" s="10"/>
      <c r="AE34" s="10"/>
      <c r="AF34" s="10"/>
      <c r="AG34" s="10"/>
      <c r="AH34" s="10"/>
      <c r="AI34" s="10"/>
      <c r="AJ34" s="10"/>
      <c r="AK34" s="10"/>
      <c r="AL34" s="10"/>
      <c r="AM34" s="10"/>
      <c r="AN34" s="10"/>
    </row>
    <row r="35" spans="1:40" x14ac:dyDescent="0.3">
      <c r="A35" s="4" t="s">
        <v>19</v>
      </c>
      <c r="B35" t="s">
        <v>22</v>
      </c>
      <c r="T35" s="10"/>
      <c r="U35" s="10"/>
      <c r="V35" s="10"/>
      <c r="W35" s="10"/>
      <c r="X35" s="10"/>
      <c r="Y35" s="10"/>
      <c r="Z35" s="10"/>
      <c r="AA35" s="10"/>
      <c r="AB35" s="10"/>
      <c r="AC35" s="10"/>
      <c r="AD35" s="10"/>
      <c r="AE35" s="10"/>
      <c r="AF35" s="10"/>
      <c r="AG35" s="10"/>
      <c r="AH35" s="10"/>
      <c r="AI35" s="10"/>
      <c r="AJ35" s="10"/>
      <c r="AK35" s="10"/>
      <c r="AL35" s="10"/>
      <c r="AM35" s="10"/>
      <c r="AN35" s="10"/>
    </row>
    <row r="36" spans="1:40" x14ac:dyDescent="0.3">
      <c r="A36" s="5" t="s">
        <v>17</v>
      </c>
      <c r="B36" s="6">
        <v>605000</v>
      </c>
      <c r="T36" s="10"/>
      <c r="U36" s="10"/>
      <c r="V36" s="10"/>
      <c r="W36" s="10"/>
      <c r="X36" s="10"/>
      <c r="Y36" s="10"/>
      <c r="Z36" s="10"/>
      <c r="AA36" s="10"/>
      <c r="AB36" s="10"/>
      <c r="AC36" s="10"/>
      <c r="AD36" s="10"/>
      <c r="AE36" s="10"/>
      <c r="AF36" s="10"/>
      <c r="AG36" s="10"/>
      <c r="AH36" s="10"/>
      <c r="AI36" s="10"/>
      <c r="AJ36" s="10"/>
      <c r="AK36" s="10"/>
      <c r="AL36" s="10"/>
      <c r="AM36" s="10"/>
      <c r="AN36" s="10"/>
    </row>
    <row r="37" spans="1:40" x14ac:dyDescent="0.3">
      <c r="A37" s="5" t="s">
        <v>15</v>
      </c>
      <c r="B37" s="6">
        <v>505000</v>
      </c>
    </row>
    <row r="38" spans="1:40" x14ac:dyDescent="0.3">
      <c r="A38" s="5" t="s">
        <v>12</v>
      </c>
      <c r="B38" s="6">
        <v>625000</v>
      </c>
    </row>
    <row r="39" spans="1:40" x14ac:dyDescent="0.3">
      <c r="A39" s="5" t="s">
        <v>9</v>
      </c>
      <c r="B39" s="6">
        <v>745000</v>
      </c>
    </row>
    <row r="40" spans="1:40" x14ac:dyDescent="0.3">
      <c r="A40" s="5" t="s">
        <v>21</v>
      </c>
      <c r="B40" s="6">
        <v>2480000</v>
      </c>
    </row>
    <row r="52" spans="1:2" x14ac:dyDescent="0.3">
      <c r="A52" s="4" t="s">
        <v>19</v>
      </c>
      <c r="B52" t="s">
        <v>23</v>
      </c>
    </row>
    <row r="53" spans="1:2" x14ac:dyDescent="0.3">
      <c r="A53" s="5" t="s">
        <v>7</v>
      </c>
      <c r="B53" s="6">
        <v>1060000</v>
      </c>
    </row>
    <row r="54" spans="1:2" x14ac:dyDescent="0.3">
      <c r="A54" s="5" t="s">
        <v>10</v>
      </c>
      <c r="B54" s="6">
        <v>569000</v>
      </c>
    </row>
    <row r="55" spans="1:2" x14ac:dyDescent="0.3">
      <c r="A55" s="5" t="s">
        <v>13</v>
      </c>
      <c r="B55" s="6">
        <v>467000</v>
      </c>
    </row>
    <row r="56" spans="1:2" x14ac:dyDescent="0.3">
      <c r="A56" s="5" t="s">
        <v>21</v>
      </c>
      <c r="B56" s="6">
        <v>2096000</v>
      </c>
    </row>
    <row r="68" spans="1:2" x14ac:dyDescent="0.3">
      <c r="A68" s="4" t="s">
        <v>19</v>
      </c>
      <c r="B68" t="s">
        <v>22</v>
      </c>
    </row>
    <row r="69" spans="1:2" x14ac:dyDescent="0.3">
      <c r="A69" s="5" t="s">
        <v>7</v>
      </c>
      <c r="B69" s="6">
        <v>1250000</v>
      </c>
    </row>
    <row r="70" spans="1:2" x14ac:dyDescent="0.3">
      <c r="A70" s="5" t="s">
        <v>10</v>
      </c>
      <c r="B70" s="6">
        <v>675000</v>
      </c>
    </row>
    <row r="71" spans="1:2" x14ac:dyDescent="0.3">
      <c r="A71" s="5" t="s">
        <v>13</v>
      </c>
      <c r="B71" s="6">
        <v>555000</v>
      </c>
    </row>
    <row r="72" spans="1:2" x14ac:dyDescent="0.3">
      <c r="A72" s="5" t="s">
        <v>21</v>
      </c>
      <c r="B72" s="6">
        <v>2480000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644F-4F16-4EE9-8A64-7F710253C02F}">
  <dimension ref="A1:L31"/>
  <sheetViews>
    <sheetView workbookViewId="0">
      <selection activeCell="L16" sqref="L16"/>
    </sheetView>
  </sheetViews>
  <sheetFormatPr defaultRowHeight="14.4" x14ac:dyDescent="0.3"/>
  <cols>
    <col min="9" max="10" width="15.109375" customWidth="1"/>
    <col min="11" max="11" width="15.33203125" customWidth="1"/>
    <col min="12" max="12" width="22" customWidth="1"/>
  </cols>
  <sheetData>
    <row r="1" spans="1:12" ht="28.8" x14ac:dyDescent="0.3">
      <c r="A1" s="1" t="s">
        <v>0</v>
      </c>
      <c r="B1" s="1" t="s">
        <v>1</v>
      </c>
      <c r="C1" s="1" t="s">
        <v>2</v>
      </c>
      <c r="D1" s="1" t="s">
        <v>3</v>
      </c>
      <c r="E1" s="1" t="s">
        <v>4</v>
      </c>
      <c r="F1" s="1" t="s">
        <v>5</v>
      </c>
      <c r="G1" s="1" t="s">
        <v>18</v>
      </c>
      <c r="H1" s="1" t="s">
        <v>6</v>
      </c>
      <c r="I1" s="7" t="s">
        <v>24</v>
      </c>
      <c r="J1" s="7" t="s">
        <v>25</v>
      </c>
      <c r="K1" s="7" t="s">
        <v>26</v>
      </c>
    </row>
    <row r="2" spans="1:12" x14ac:dyDescent="0.3">
      <c r="A2" s="2">
        <v>45658</v>
      </c>
      <c r="B2" s="3" t="s">
        <v>7</v>
      </c>
      <c r="C2" s="3" t="s">
        <v>8</v>
      </c>
      <c r="D2" s="3" t="s">
        <v>9</v>
      </c>
      <c r="E2" s="3">
        <v>2</v>
      </c>
      <c r="F2" s="3">
        <v>100000</v>
      </c>
      <c r="G2" s="3">
        <v>85000</v>
      </c>
      <c r="H2" s="3">
        <v>15000</v>
      </c>
      <c r="I2" t="str">
        <f>_xlfn.IFS(G2&gt;100000,"ABOVE 100000",G2&gt;=70000,"70000 TO 100000",G2&gt;=50000,"50000 TO 69999",G2&lt;50000,"BELOW 50000")</f>
        <v>70000 TO 100000</v>
      </c>
      <c r="J2" t="str">
        <f>_xlfn.IFS(H2&gt;20000,"ABOVE 20000",H2&gt;=15000,"15000 TO 19999",H2&gt;=10000,"10000 TO 14999",H2&lt;10000,"BELOW 10000")</f>
        <v>15000 TO 19999</v>
      </c>
      <c r="K2" t="str">
        <f>_xlfn.IFS(F2&gt;100000,"ABOVE 100000",F2&gt;=70000,"70000 TO 100000",F2&gt;=50000,"50000 TO 69999",F2&lt;50000,"BELOW 50000")</f>
        <v>70000 TO 100000</v>
      </c>
    </row>
    <row r="3" spans="1:12" x14ac:dyDescent="0.3">
      <c r="A3" s="2">
        <v>45659</v>
      </c>
      <c r="B3" s="3" t="s">
        <v>10</v>
      </c>
      <c r="C3" s="3" t="s">
        <v>11</v>
      </c>
      <c r="D3" s="3" t="s">
        <v>12</v>
      </c>
      <c r="E3" s="3">
        <v>5</v>
      </c>
      <c r="F3" s="3">
        <v>75000</v>
      </c>
      <c r="G3" s="3">
        <v>63000</v>
      </c>
      <c r="H3" s="3">
        <v>12000</v>
      </c>
      <c r="I3" t="str">
        <f t="shared" ref="I3:I45" si="0">_xlfn.IFS(G3&gt;100000,"ABOVE 100000",G3&gt;=70000,"70000 TO 100000",G3&gt;=50000,"50000 TO 69999",G3&lt;50000,"BELOW 50000")</f>
        <v>50000 TO 69999</v>
      </c>
      <c r="J3" t="str">
        <f t="shared" ref="J3:J31" si="1">_xlfn.IFS(H3&gt;20000,"ABOVE 20000",H3&gt;=15000,"15000 TO 19999",H3&gt;=10000,"10000 TO 14999",H3&lt;10000,"BELOW 10000")</f>
        <v>10000 TO 14999</v>
      </c>
      <c r="K3" t="str">
        <f t="shared" ref="K3:K31" si="2">_xlfn.IFS(F3&gt;100000,"ABOVE 100000",F3&gt;=70000,"70000 TO 100000",F3&gt;=50000,"50000 TO 69999",F3&lt;50000,"BELOW 50000")</f>
        <v>70000 TO 100000</v>
      </c>
      <c r="L3" t="s">
        <v>27</v>
      </c>
    </row>
    <row r="4" spans="1:12" x14ac:dyDescent="0.3">
      <c r="A4" s="2">
        <v>45660</v>
      </c>
      <c r="B4" s="3" t="s">
        <v>13</v>
      </c>
      <c r="C4" s="3" t="s">
        <v>14</v>
      </c>
      <c r="D4" s="3" t="s">
        <v>15</v>
      </c>
      <c r="E4" s="3">
        <v>3</v>
      </c>
      <c r="F4" s="3">
        <v>45000</v>
      </c>
      <c r="G4" s="3">
        <v>37000</v>
      </c>
      <c r="H4" s="3">
        <v>8000</v>
      </c>
      <c r="I4" t="str">
        <f t="shared" si="0"/>
        <v>BELOW 50000</v>
      </c>
      <c r="J4" t="str">
        <f t="shared" si="1"/>
        <v>BELOW 10000</v>
      </c>
      <c r="K4" t="str">
        <f t="shared" si="2"/>
        <v>BELOW 50000</v>
      </c>
      <c r="L4" s="11">
        <f>SUM(G:G)</f>
        <v>2096000</v>
      </c>
    </row>
    <row r="5" spans="1:12" x14ac:dyDescent="0.3">
      <c r="A5" s="2">
        <v>45661</v>
      </c>
      <c r="B5" s="3" t="s">
        <v>7</v>
      </c>
      <c r="C5" s="3" t="s">
        <v>16</v>
      </c>
      <c r="D5" s="3" t="s">
        <v>17</v>
      </c>
      <c r="E5" s="3">
        <v>1</v>
      </c>
      <c r="F5" s="3">
        <v>50000</v>
      </c>
      <c r="G5" s="3">
        <v>43000</v>
      </c>
      <c r="H5" s="3">
        <v>7000</v>
      </c>
      <c r="I5" t="str">
        <f t="shared" si="0"/>
        <v>BELOW 50000</v>
      </c>
      <c r="J5" t="str">
        <f t="shared" si="1"/>
        <v>BELOW 10000</v>
      </c>
      <c r="K5" t="str">
        <f t="shared" si="2"/>
        <v>50000 TO 69999</v>
      </c>
    </row>
    <row r="6" spans="1:12" x14ac:dyDescent="0.3">
      <c r="A6" s="2">
        <v>45662</v>
      </c>
      <c r="B6" s="3" t="s">
        <v>10</v>
      </c>
      <c r="C6" s="3" t="s">
        <v>8</v>
      </c>
      <c r="D6" s="3" t="s">
        <v>9</v>
      </c>
      <c r="E6" s="3">
        <v>4</v>
      </c>
      <c r="F6" s="3">
        <v>60000</v>
      </c>
      <c r="G6" s="3">
        <v>50000</v>
      </c>
      <c r="H6" s="3">
        <v>10000</v>
      </c>
      <c r="I6" t="str">
        <f t="shared" si="0"/>
        <v>50000 TO 69999</v>
      </c>
      <c r="J6" t="str">
        <f t="shared" si="1"/>
        <v>10000 TO 14999</v>
      </c>
      <c r="K6" t="str">
        <f t="shared" si="2"/>
        <v>50000 TO 69999</v>
      </c>
      <c r="L6" t="s">
        <v>28</v>
      </c>
    </row>
    <row r="7" spans="1:12" x14ac:dyDescent="0.3">
      <c r="A7" s="2">
        <v>45663</v>
      </c>
      <c r="B7" s="3" t="s">
        <v>13</v>
      </c>
      <c r="C7" s="3" t="s">
        <v>11</v>
      </c>
      <c r="D7" s="3" t="s">
        <v>12</v>
      </c>
      <c r="E7" s="3">
        <v>2</v>
      </c>
      <c r="F7" s="3">
        <v>30000</v>
      </c>
      <c r="G7" s="3">
        <v>25000</v>
      </c>
      <c r="H7" s="3">
        <v>5000</v>
      </c>
      <c r="I7" t="str">
        <f t="shared" si="0"/>
        <v>BELOW 50000</v>
      </c>
      <c r="J7" t="str">
        <f t="shared" si="1"/>
        <v>BELOW 10000</v>
      </c>
      <c r="K7" t="str">
        <f t="shared" si="2"/>
        <v>BELOW 50000</v>
      </c>
      <c r="L7" s="11">
        <f>SUM(H:H)</f>
        <v>384000</v>
      </c>
    </row>
    <row r="8" spans="1:12" x14ac:dyDescent="0.3">
      <c r="A8" s="2">
        <v>45664</v>
      </c>
      <c r="B8" s="3" t="s">
        <v>7</v>
      </c>
      <c r="C8" s="3" t="s">
        <v>14</v>
      </c>
      <c r="D8" s="3" t="s">
        <v>15</v>
      </c>
      <c r="E8" s="3">
        <v>3</v>
      </c>
      <c r="F8" s="3">
        <v>150000</v>
      </c>
      <c r="G8" s="3">
        <v>128000</v>
      </c>
      <c r="H8" s="3">
        <v>22000</v>
      </c>
      <c r="I8" t="str">
        <f t="shared" si="0"/>
        <v>ABOVE 100000</v>
      </c>
      <c r="J8" t="str">
        <f t="shared" si="1"/>
        <v>ABOVE 20000</v>
      </c>
      <c r="K8" t="str">
        <f t="shared" si="2"/>
        <v>ABOVE 100000</v>
      </c>
    </row>
    <row r="9" spans="1:12" x14ac:dyDescent="0.3">
      <c r="A9" s="2">
        <v>45665</v>
      </c>
      <c r="B9" s="3" t="s">
        <v>10</v>
      </c>
      <c r="C9" s="3" t="s">
        <v>16</v>
      </c>
      <c r="D9" s="3" t="s">
        <v>17</v>
      </c>
      <c r="E9" s="3">
        <v>6</v>
      </c>
      <c r="F9" s="3">
        <v>90000</v>
      </c>
      <c r="G9" s="3">
        <v>76000</v>
      </c>
      <c r="H9" s="3">
        <v>14000</v>
      </c>
      <c r="I9" t="str">
        <f t="shared" si="0"/>
        <v>70000 TO 100000</v>
      </c>
      <c r="J9" t="str">
        <f t="shared" si="1"/>
        <v>10000 TO 14999</v>
      </c>
      <c r="K9" t="str">
        <f t="shared" si="2"/>
        <v>70000 TO 100000</v>
      </c>
      <c r="L9" t="s">
        <v>29</v>
      </c>
    </row>
    <row r="10" spans="1:12" x14ac:dyDescent="0.3">
      <c r="A10" s="2">
        <v>45666</v>
      </c>
      <c r="B10" s="3" t="s">
        <v>13</v>
      </c>
      <c r="C10" s="3" t="s">
        <v>8</v>
      </c>
      <c r="D10" s="3" t="s">
        <v>9</v>
      </c>
      <c r="E10" s="3">
        <v>4</v>
      </c>
      <c r="F10" s="3">
        <v>60000</v>
      </c>
      <c r="G10" s="3">
        <v>51000</v>
      </c>
      <c r="H10" s="3">
        <v>9000</v>
      </c>
      <c r="I10" t="str">
        <f t="shared" si="0"/>
        <v>50000 TO 69999</v>
      </c>
      <c r="J10" t="str">
        <f t="shared" si="1"/>
        <v>BELOW 10000</v>
      </c>
      <c r="K10" t="str">
        <f t="shared" si="2"/>
        <v>50000 TO 69999</v>
      </c>
      <c r="L10">
        <f>SUM(F:F)</f>
        <v>2480000</v>
      </c>
    </row>
    <row r="11" spans="1:12" x14ac:dyDescent="0.3">
      <c r="A11" s="2">
        <v>45667</v>
      </c>
      <c r="B11" s="3" t="s">
        <v>7</v>
      </c>
      <c r="C11" s="3" t="s">
        <v>11</v>
      </c>
      <c r="D11" s="3" t="s">
        <v>12</v>
      </c>
      <c r="E11" s="3">
        <v>2</v>
      </c>
      <c r="F11" s="3">
        <v>100000</v>
      </c>
      <c r="G11" s="3">
        <v>84000</v>
      </c>
      <c r="H11" s="3">
        <v>16000</v>
      </c>
      <c r="I11" t="str">
        <f t="shared" si="0"/>
        <v>70000 TO 100000</v>
      </c>
      <c r="J11" t="str">
        <f t="shared" si="1"/>
        <v>15000 TO 19999</v>
      </c>
      <c r="K11" t="str">
        <f t="shared" si="2"/>
        <v>70000 TO 100000</v>
      </c>
    </row>
    <row r="12" spans="1:12" x14ac:dyDescent="0.3">
      <c r="A12" s="2">
        <v>45668</v>
      </c>
      <c r="B12" s="3" t="s">
        <v>10</v>
      </c>
      <c r="C12" s="3" t="s">
        <v>14</v>
      </c>
      <c r="D12" s="3" t="s">
        <v>15</v>
      </c>
      <c r="E12" s="3">
        <v>5</v>
      </c>
      <c r="F12" s="3">
        <v>75000</v>
      </c>
      <c r="G12" s="3">
        <v>64000</v>
      </c>
      <c r="H12" s="3">
        <v>11000</v>
      </c>
      <c r="I12" t="str">
        <f t="shared" si="0"/>
        <v>50000 TO 69999</v>
      </c>
      <c r="J12" t="str">
        <f t="shared" si="1"/>
        <v>10000 TO 14999</v>
      </c>
      <c r="K12" t="str">
        <f t="shared" si="2"/>
        <v>70000 TO 100000</v>
      </c>
      <c r="L12" t="s">
        <v>30</v>
      </c>
    </row>
    <row r="13" spans="1:12" x14ac:dyDescent="0.3">
      <c r="A13" s="2">
        <v>45669</v>
      </c>
      <c r="B13" s="3" t="s">
        <v>13</v>
      </c>
      <c r="C13" s="3" t="s">
        <v>16</v>
      </c>
      <c r="D13" s="3" t="s">
        <v>17</v>
      </c>
      <c r="E13" s="3">
        <v>3</v>
      </c>
      <c r="F13" s="3">
        <v>45000</v>
      </c>
      <c r="G13" s="3">
        <v>38000</v>
      </c>
      <c r="H13" s="3">
        <v>7000</v>
      </c>
      <c r="I13" t="str">
        <f t="shared" si="0"/>
        <v>BELOW 50000</v>
      </c>
      <c r="J13" t="str">
        <f t="shared" si="1"/>
        <v>BELOW 10000</v>
      </c>
      <c r="K13" t="str">
        <f t="shared" si="2"/>
        <v>BELOW 50000</v>
      </c>
      <c r="L13" s="12" t="str">
        <f>INDEX(C2:C31,MATCH(MAX(F2:F31),F2:F31,0))</f>
        <v>North</v>
      </c>
    </row>
    <row r="14" spans="1:12" x14ac:dyDescent="0.3">
      <c r="A14" s="2">
        <v>45670</v>
      </c>
      <c r="B14" s="3" t="s">
        <v>7</v>
      </c>
      <c r="C14" s="3" t="s">
        <v>8</v>
      </c>
      <c r="D14" s="3" t="s">
        <v>9</v>
      </c>
      <c r="E14" s="3">
        <v>1</v>
      </c>
      <c r="F14" s="3">
        <v>50000</v>
      </c>
      <c r="G14" s="3">
        <v>42000</v>
      </c>
      <c r="H14" s="3">
        <v>8000</v>
      </c>
      <c r="I14" t="str">
        <f t="shared" si="0"/>
        <v>BELOW 50000</v>
      </c>
      <c r="J14" t="str">
        <f t="shared" si="1"/>
        <v>BELOW 10000</v>
      </c>
      <c r="K14" t="str">
        <f t="shared" si="2"/>
        <v>50000 TO 69999</v>
      </c>
    </row>
    <row r="15" spans="1:12" x14ac:dyDescent="0.3">
      <c r="A15" s="2">
        <v>45671</v>
      </c>
      <c r="B15" s="3" t="s">
        <v>10</v>
      </c>
      <c r="C15" s="3" t="s">
        <v>11</v>
      </c>
      <c r="D15" s="3" t="s">
        <v>12</v>
      </c>
      <c r="E15" s="3">
        <v>7</v>
      </c>
      <c r="F15" s="3">
        <v>105000</v>
      </c>
      <c r="G15" s="3">
        <v>88000</v>
      </c>
      <c r="H15" s="3">
        <v>17000</v>
      </c>
      <c r="I15" t="str">
        <f t="shared" si="0"/>
        <v>70000 TO 100000</v>
      </c>
      <c r="J15" t="str">
        <f t="shared" si="1"/>
        <v>15000 TO 19999</v>
      </c>
      <c r="K15" t="str">
        <f t="shared" si="2"/>
        <v>ABOVE 100000</v>
      </c>
      <c r="L15" t="s">
        <v>31</v>
      </c>
    </row>
    <row r="16" spans="1:12" x14ac:dyDescent="0.3">
      <c r="A16" s="2">
        <v>45672</v>
      </c>
      <c r="B16" s="3" t="s">
        <v>13</v>
      </c>
      <c r="C16" s="3" t="s">
        <v>14</v>
      </c>
      <c r="D16" s="3" t="s">
        <v>15</v>
      </c>
      <c r="E16" s="3">
        <v>2</v>
      </c>
      <c r="F16" s="3">
        <v>30000</v>
      </c>
      <c r="G16" s="3">
        <v>25000</v>
      </c>
      <c r="H16" s="3">
        <v>5000</v>
      </c>
      <c r="I16" t="str">
        <f t="shared" si="0"/>
        <v>BELOW 50000</v>
      </c>
      <c r="J16" t="str">
        <f t="shared" si="1"/>
        <v>BELOW 10000</v>
      </c>
      <c r="K16" t="str">
        <f t="shared" si="2"/>
        <v>BELOW 50000</v>
      </c>
      <c r="L16" s="12" t="str">
        <f>INDEX(D2:D31,MATCH(MAX(H2:H31),H2:H31,0))</f>
        <v>Ravi</v>
      </c>
    </row>
    <row r="17" spans="1:11" x14ac:dyDescent="0.3">
      <c r="A17" s="2">
        <v>45673</v>
      </c>
      <c r="B17" s="3" t="s">
        <v>7</v>
      </c>
      <c r="C17" s="3" t="s">
        <v>16</v>
      </c>
      <c r="D17" s="3" t="s">
        <v>17</v>
      </c>
      <c r="E17" s="3">
        <v>4</v>
      </c>
      <c r="F17" s="3">
        <v>200000</v>
      </c>
      <c r="G17" s="3">
        <v>170000</v>
      </c>
      <c r="H17" s="3">
        <v>30000</v>
      </c>
      <c r="I17" t="str">
        <f t="shared" si="0"/>
        <v>ABOVE 100000</v>
      </c>
      <c r="J17" t="str">
        <f t="shared" si="1"/>
        <v>ABOVE 20000</v>
      </c>
      <c r="K17" t="str">
        <f t="shared" si="2"/>
        <v>ABOVE 100000</v>
      </c>
    </row>
    <row r="18" spans="1:11" x14ac:dyDescent="0.3">
      <c r="A18" s="2">
        <v>45674</v>
      </c>
      <c r="B18" s="3" t="s">
        <v>10</v>
      </c>
      <c r="C18" s="3" t="s">
        <v>8</v>
      </c>
      <c r="D18" s="3" t="s">
        <v>9</v>
      </c>
      <c r="E18" s="3">
        <v>3</v>
      </c>
      <c r="F18" s="3">
        <v>45000</v>
      </c>
      <c r="G18" s="3">
        <v>38000</v>
      </c>
      <c r="H18" s="3">
        <v>7000</v>
      </c>
      <c r="I18" t="str">
        <f t="shared" si="0"/>
        <v>BELOW 50000</v>
      </c>
      <c r="J18" t="str">
        <f t="shared" si="1"/>
        <v>BELOW 10000</v>
      </c>
      <c r="K18" t="str">
        <f t="shared" si="2"/>
        <v>BELOW 50000</v>
      </c>
    </row>
    <row r="19" spans="1:11" x14ac:dyDescent="0.3">
      <c r="A19" s="2">
        <v>45675</v>
      </c>
      <c r="B19" s="3" t="s">
        <v>13</v>
      </c>
      <c r="C19" s="3" t="s">
        <v>11</v>
      </c>
      <c r="D19" s="3" t="s">
        <v>12</v>
      </c>
      <c r="E19" s="3">
        <v>5</v>
      </c>
      <c r="F19" s="3">
        <v>75000</v>
      </c>
      <c r="G19" s="3">
        <v>63000</v>
      </c>
      <c r="H19" s="3">
        <v>12000</v>
      </c>
      <c r="I19" t="str">
        <f t="shared" si="0"/>
        <v>50000 TO 69999</v>
      </c>
      <c r="J19" t="str">
        <f t="shared" si="1"/>
        <v>10000 TO 14999</v>
      </c>
      <c r="K19" t="str">
        <f t="shared" si="2"/>
        <v>70000 TO 100000</v>
      </c>
    </row>
    <row r="20" spans="1:11" x14ac:dyDescent="0.3">
      <c r="A20" s="2">
        <v>45676</v>
      </c>
      <c r="B20" s="3" t="s">
        <v>7</v>
      </c>
      <c r="C20" s="3" t="s">
        <v>14</v>
      </c>
      <c r="D20" s="3" t="s">
        <v>15</v>
      </c>
      <c r="E20" s="3">
        <v>2</v>
      </c>
      <c r="F20" s="3">
        <v>100000</v>
      </c>
      <c r="G20" s="3">
        <v>85000</v>
      </c>
      <c r="H20" s="3">
        <v>15000</v>
      </c>
      <c r="I20" t="str">
        <f t="shared" si="0"/>
        <v>70000 TO 100000</v>
      </c>
      <c r="J20" t="str">
        <f t="shared" si="1"/>
        <v>15000 TO 19999</v>
      </c>
      <c r="K20" t="str">
        <f t="shared" si="2"/>
        <v>70000 TO 100000</v>
      </c>
    </row>
    <row r="21" spans="1:11" x14ac:dyDescent="0.3">
      <c r="A21" s="2">
        <v>45677</v>
      </c>
      <c r="B21" s="3" t="s">
        <v>10</v>
      </c>
      <c r="C21" s="3" t="s">
        <v>16</v>
      </c>
      <c r="D21" s="3" t="s">
        <v>17</v>
      </c>
      <c r="E21" s="3">
        <v>4</v>
      </c>
      <c r="F21" s="3">
        <v>60000</v>
      </c>
      <c r="G21" s="3">
        <v>51000</v>
      </c>
      <c r="H21" s="3">
        <v>9000</v>
      </c>
      <c r="I21" t="str">
        <f t="shared" si="0"/>
        <v>50000 TO 69999</v>
      </c>
      <c r="J21" t="str">
        <f t="shared" si="1"/>
        <v>BELOW 10000</v>
      </c>
      <c r="K21" t="str">
        <f t="shared" si="2"/>
        <v>50000 TO 69999</v>
      </c>
    </row>
    <row r="22" spans="1:11" x14ac:dyDescent="0.3">
      <c r="A22" s="2">
        <v>45678</v>
      </c>
      <c r="B22" s="3" t="s">
        <v>13</v>
      </c>
      <c r="C22" s="3" t="s">
        <v>8</v>
      </c>
      <c r="D22" s="3" t="s">
        <v>9</v>
      </c>
      <c r="E22" s="3">
        <v>6</v>
      </c>
      <c r="F22" s="3">
        <v>90000</v>
      </c>
      <c r="G22" s="3">
        <v>76000</v>
      </c>
      <c r="H22" s="3">
        <v>14000</v>
      </c>
      <c r="I22" t="str">
        <f t="shared" si="0"/>
        <v>70000 TO 100000</v>
      </c>
      <c r="J22" t="str">
        <f t="shared" si="1"/>
        <v>10000 TO 14999</v>
      </c>
      <c r="K22" t="str">
        <f t="shared" si="2"/>
        <v>70000 TO 100000</v>
      </c>
    </row>
    <row r="23" spans="1:11" x14ac:dyDescent="0.3">
      <c r="A23" s="2">
        <v>45679</v>
      </c>
      <c r="B23" s="3" t="s">
        <v>7</v>
      </c>
      <c r="C23" s="3" t="s">
        <v>11</v>
      </c>
      <c r="D23" s="3" t="s">
        <v>12</v>
      </c>
      <c r="E23" s="3">
        <v>3</v>
      </c>
      <c r="F23" s="3">
        <v>150000</v>
      </c>
      <c r="G23" s="3">
        <v>126000</v>
      </c>
      <c r="H23" s="3">
        <v>24000</v>
      </c>
      <c r="I23" t="str">
        <f t="shared" si="0"/>
        <v>ABOVE 100000</v>
      </c>
      <c r="J23" t="str">
        <f t="shared" si="1"/>
        <v>ABOVE 20000</v>
      </c>
      <c r="K23" t="str">
        <f t="shared" si="2"/>
        <v>ABOVE 100000</v>
      </c>
    </row>
    <row r="24" spans="1:11" x14ac:dyDescent="0.3">
      <c r="A24" s="2">
        <v>45680</v>
      </c>
      <c r="B24" s="3" t="s">
        <v>10</v>
      </c>
      <c r="C24" s="3" t="s">
        <v>14</v>
      </c>
      <c r="D24" s="3" t="s">
        <v>15</v>
      </c>
      <c r="E24" s="3">
        <v>2</v>
      </c>
      <c r="F24" s="3">
        <v>30000</v>
      </c>
      <c r="G24" s="3">
        <v>25000</v>
      </c>
      <c r="H24" s="3">
        <v>5000</v>
      </c>
      <c r="I24" t="str">
        <f t="shared" si="0"/>
        <v>BELOW 50000</v>
      </c>
      <c r="J24" t="str">
        <f t="shared" si="1"/>
        <v>BELOW 10000</v>
      </c>
      <c r="K24" t="str">
        <f t="shared" si="2"/>
        <v>BELOW 50000</v>
      </c>
    </row>
    <row r="25" spans="1:11" x14ac:dyDescent="0.3">
      <c r="A25" s="2">
        <v>45681</v>
      </c>
      <c r="B25" s="3" t="s">
        <v>13</v>
      </c>
      <c r="C25" s="3" t="s">
        <v>16</v>
      </c>
      <c r="D25" s="3" t="s">
        <v>17</v>
      </c>
      <c r="E25" s="3">
        <v>4</v>
      </c>
      <c r="F25" s="3">
        <v>60000</v>
      </c>
      <c r="G25" s="3">
        <v>51000</v>
      </c>
      <c r="H25" s="3">
        <v>9000</v>
      </c>
      <c r="I25" t="str">
        <f t="shared" si="0"/>
        <v>50000 TO 69999</v>
      </c>
      <c r="J25" t="str">
        <f t="shared" si="1"/>
        <v>BELOW 10000</v>
      </c>
      <c r="K25" t="str">
        <f t="shared" si="2"/>
        <v>50000 TO 69999</v>
      </c>
    </row>
    <row r="26" spans="1:11" x14ac:dyDescent="0.3">
      <c r="A26" s="2">
        <v>45682</v>
      </c>
      <c r="B26" s="3" t="s">
        <v>7</v>
      </c>
      <c r="C26" s="3" t="s">
        <v>8</v>
      </c>
      <c r="D26" s="3" t="s">
        <v>9</v>
      </c>
      <c r="E26" s="3">
        <v>5</v>
      </c>
      <c r="F26" s="3">
        <v>250000</v>
      </c>
      <c r="G26" s="3">
        <v>212000</v>
      </c>
      <c r="H26" s="3">
        <v>38000</v>
      </c>
      <c r="I26" t="str">
        <f t="shared" si="0"/>
        <v>ABOVE 100000</v>
      </c>
      <c r="J26" t="str">
        <f t="shared" si="1"/>
        <v>ABOVE 20000</v>
      </c>
      <c r="K26" t="str">
        <f t="shared" si="2"/>
        <v>ABOVE 100000</v>
      </c>
    </row>
    <row r="27" spans="1:11" x14ac:dyDescent="0.3">
      <c r="A27" s="2">
        <v>45683</v>
      </c>
      <c r="B27" s="3" t="s">
        <v>10</v>
      </c>
      <c r="C27" s="3" t="s">
        <v>11</v>
      </c>
      <c r="D27" s="3" t="s">
        <v>12</v>
      </c>
      <c r="E27" s="3">
        <v>3</v>
      </c>
      <c r="F27" s="3">
        <v>45000</v>
      </c>
      <c r="G27" s="3">
        <v>38000</v>
      </c>
      <c r="H27" s="3">
        <v>7000</v>
      </c>
      <c r="I27" t="str">
        <f t="shared" si="0"/>
        <v>BELOW 50000</v>
      </c>
      <c r="J27" t="str">
        <f t="shared" si="1"/>
        <v>BELOW 10000</v>
      </c>
      <c r="K27" t="str">
        <f t="shared" si="2"/>
        <v>BELOW 50000</v>
      </c>
    </row>
    <row r="28" spans="1:11" x14ac:dyDescent="0.3">
      <c r="A28" s="2">
        <v>45684</v>
      </c>
      <c r="B28" s="3" t="s">
        <v>13</v>
      </c>
      <c r="C28" s="3" t="s">
        <v>14</v>
      </c>
      <c r="D28" s="3" t="s">
        <v>15</v>
      </c>
      <c r="E28" s="3">
        <v>5</v>
      </c>
      <c r="F28" s="3">
        <v>75000</v>
      </c>
      <c r="G28" s="3">
        <v>63000</v>
      </c>
      <c r="H28" s="3">
        <v>12000</v>
      </c>
      <c r="I28" t="str">
        <f t="shared" si="0"/>
        <v>50000 TO 69999</v>
      </c>
      <c r="J28" t="str">
        <f t="shared" si="1"/>
        <v>10000 TO 14999</v>
      </c>
      <c r="K28" t="str">
        <f t="shared" si="2"/>
        <v>70000 TO 100000</v>
      </c>
    </row>
    <row r="29" spans="1:11" x14ac:dyDescent="0.3">
      <c r="A29" s="2">
        <v>45685</v>
      </c>
      <c r="B29" s="3" t="s">
        <v>7</v>
      </c>
      <c r="C29" s="3" t="s">
        <v>16</v>
      </c>
      <c r="D29" s="3" t="s">
        <v>17</v>
      </c>
      <c r="E29" s="3">
        <v>2</v>
      </c>
      <c r="F29" s="3">
        <v>100000</v>
      </c>
      <c r="G29" s="3">
        <v>85000</v>
      </c>
      <c r="H29" s="3">
        <v>15000</v>
      </c>
      <c r="I29" t="str">
        <f t="shared" si="0"/>
        <v>70000 TO 100000</v>
      </c>
      <c r="J29" t="str">
        <f t="shared" si="1"/>
        <v>15000 TO 19999</v>
      </c>
      <c r="K29" t="str">
        <f t="shared" si="2"/>
        <v>70000 TO 100000</v>
      </c>
    </row>
    <row r="30" spans="1:11" x14ac:dyDescent="0.3">
      <c r="A30" s="2">
        <v>45686</v>
      </c>
      <c r="B30" s="3" t="s">
        <v>10</v>
      </c>
      <c r="C30" s="3" t="s">
        <v>8</v>
      </c>
      <c r="D30" s="3" t="s">
        <v>9</v>
      </c>
      <c r="E30" s="3">
        <v>6</v>
      </c>
      <c r="F30" s="3">
        <v>90000</v>
      </c>
      <c r="G30" s="3">
        <v>76000</v>
      </c>
      <c r="H30" s="3">
        <v>14000</v>
      </c>
      <c r="I30" t="str">
        <f t="shared" si="0"/>
        <v>70000 TO 100000</v>
      </c>
      <c r="J30" t="str">
        <f t="shared" si="1"/>
        <v>10000 TO 14999</v>
      </c>
      <c r="K30" t="str">
        <f t="shared" si="2"/>
        <v>70000 TO 100000</v>
      </c>
    </row>
    <row r="31" spans="1:11" x14ac:dyDescent="0.3">
      <c r="A31" s="2">
        <v>45687</v>
      </c>
      <c r="B31" s="3" t="s">
        <v>13</v>
      </c>
      <c r="C31" s="3" t="s">
        <v>11</v>
      </c>
      <c r="D31" s="3" t="s">
        <v>12</v>
      </c>
      <c r="E31" s="3">
        <v>3</v>
      </c>
      <c r="F31" s="3">
        <v>45000</v>
      </c>
      <c r="G31" s="3">
        <v>38000</v>
      </c>
      <c r="H31" s="3">
        <v>7000</v>
      </c>
      <c r="I31" t="str">
        <f t="shared" si="0"/>
        <v>BELOW 50000</v>
      </c>
      <c r="J31" t="str">
        <f t="shared" si="1"/>
        <v>BELOW 10000</v>
      </c>
      <c r="K31" t="str">
        <f t="shared" si="2"/>
        <v>BELOW 50000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shakam sivaramireddy</dc:creator>
  <cp:lastModifiedBy>shakam sivaramireddy</cp:lastModifiedBy>
  <dcterms:created xsi:type="dcterms:W3CDTF">2026-06-07T15:44:08Z</dcterms:created>
  <dcterms:modified xsi:type="dcterms:W3CDTF">2026-06-07T18:05:15Z</dcterms:modified>
</cp:coreProperties>
</file>