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5F55A852-149C-4EE0-B3B8-0775C53B1802}" xr6:coauthVersionLast="47" xr6:coauthVersionMax="47" xr10:uidLastSave="{00000000-0000-0000-0000-000000000000}"/>
  <bookViews>
    <workbookView xWindow="-120" yWindow="-120" windowWidth="29040" windowHeight="15720" xr2:uid="{F4C4013F-466D-4F69-86AD-6BB720FA02BF}"/>
  </bookViews>
  <sheets>
    <sheet name="weath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99" i="1" l="1"/>
  <c r="AI101" i="1"/>
  <c r="AI102" i="1"/>
  <c r="AI103" i="1"/>
  <c r="AI104" i="1"/>
  <c r="AI105" i="1"/>
  <c r="AI100" i="1"/>
  <c r="AO93" i="1"/>
  <c r="AQ91" i="1"/>
  <c r="AQ92" i="1"/>
  <c r="AQ93" i="1"/>
  <c r="AQ94" i="1"/>
  <c r="AQ95" i="1"/>
  <c r="AQ90" i="1"/>
  <c r="AO90" i="1"/>
  <c r="AP91" i="1"/>
  <c r="AP92" i="1"/>
  <c r="AP93" i="1"/>
  <c r="AP94" i="1"/>
  <c r="AP95" i="1"/>
  <c r="AP90" i="1"/>
  <c r="AN90" i="1"/>
  <c r="AO91" i="1"/>
  <c r="AO92" i="1"/>
  <c r="AO94" i="1"/>
  <c r="AO95" i="1"/>
  <c r="AN91" i="1"/>
  <c r="AN92" i="1"/>
  <c r="AN93" i="1"/>
  <c r="AN94" i="1"/>
  <c r="AN95" i="1"/>
  <c r="AI91" i="1"/>
  <c r="AI92" i="1"/>
  <c r="AI93" i="1"/>
  <c r="AI94" i="1"/>
  <c r="AI95" i="1"/>
  <c r="AI96" i="1"/>
  <c r="AI90" i="1"/>
  <c r="AI74" i="1"/>
  <c r="AI70" i="1"/>
  <c r="AK70" i="1"/>
  <c r="AM70" i="1"/>
  <c r="AJ86" i="1"/>
  <c r="AJ85" i="1"/>
  <c r="AI71" i="1"/>
  <c r="AN44" i="1"/>
  <c r="AN43" i="1"/>
  <c r="AL43" i="1"/>
  <c r="AL40" i="1"/>
  <c r="AJ44" i="1"/>
  <c r="AJ43" i="1"/>
  <c r="AJ40" i="1"/>
  <c r="AM37" i="1"/>
  <c r="AM10" i="1"/>
  <c r="AI6" i="1"/>
  <c r="AK26" i="1"/>
  <c r="AK19" i="1"/>
  <c r="AK18" i="1"/>
  <c r="AK11" i="1"/>
  <c r="AK6" i="1"/>
  <c r="AI27" i="1"/>
  <c r="AI23" i="1"/>
  <c r="AI19" i="1"/>
  <c r="AI15" i="1"/>
  <c r="AI11" i="1"/>
  <c r="AI7" i="1"/>
  <c r="AG6" i="1"/>
  <c r="AF7" i="1"/>
  <c r="AF20" i="1"/>
  <c r="AF18" i="1"/>
  <c r="AF17" i="1"/>
  <c r="AF16" i="1"/>
  <c r="AF14" i="1"/>
  <c r="AF12" i="1"/>
  <c r="AF10" i="1"/>
  <c r="AF9" i="1"/>
  <c r="AF6" i="1"/>
  <c r="AF4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2" i="1"/>
  <c r="X356" i="1"/>
  <c r="X367" i="1"/>
  <c r="X2" i="1"/>
  <c r="Z3" i="1"/>
  <c r="Z4" i="1"/>
  <c r="Z5" i="1"/>
  <c r="Z6" i="1"/>
  <c r="AM18" i="1" s="1"/>
  <c r="Z7" i="1"/>
  <c r="Z8" i="1"/>
  <c r="AM6" i="1" s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2" i="1"/>
  <c r="AM7" i="1" s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2" i="1"/>
  <c r="X3" i="1"/>
  <c r="X4" i="1"/>
  <c r="X5" i="1"/>
  <c r="X6" i="1"/>
  <c r="AM24" i="1" s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7" i="1"/>
  <c r="X358" i="1"/>
  <c r="X359" i="1"/>
  <c r="X360" i="1"/>
  <c r="X361" i="1"/>
  <c r="X362" i="1"/>
  <c r="X363" i="1"/>
  <c r="X364" i="1"/>
  <c r="X365" i="1"/>
  <c r="X366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2" i="1"/>
  <c r="V2" i="1"/>
  <c r="T2" i="1" a="1"/>
  <c r="T2" i="1" s="1"/>
  <c r="U2" i="1" s="1" a="1"/>
  <c r="U2" i="1" s="1"/>
  <c r="S2" i="1" a="1"/>
  <c r="S2" i="1" s="1"/>
  <c r="AM5" i="1" l="1"/>
  <c r="AK14" i="1"/>
  <c r="AM14" i="1"/>
  <c r="AM21" i="1"/>
  <c r="AK5" i="1"/>
  <c r="AK10" i="1"/>
  <c r="AK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<sst xmlns="http://schemas.openxmlformats.org/spreadsheetml/2006/main" count="1295" uniqueCount="112">
  <si>
    <t>MinTemp</t>
  </si>
  <si>
    <t>MaxTemp</t>
  </si>
  <si>
    <t>Rainfall</t>
  </si>
  <si>
    <t>Evaporation</t>
  </si>
  <si>
    <t>Sunshine</t>
  </si>
  <si>
    <t>WindGustSpeed</t>
  </si>
  <si>
    <t>WindDir9am</t>
  </si>
  <si>
    <t>WindDir3pm</t>
  </si>
  <si>
    <t>WindSpeed9am</t>
  </si>
  <si>
    <t>WindSpeed3pm</t>
  </si>
  <si>
    <t>Humidity9am</t>
  </si>
  <si>
    <t>Humidity3pm</t>
  </si>
  <si>
    <t>Pressure9am</t>
  </si>
  <si>
    <t>Pressure3pm</t>
  </si>
  <si>
    <t>Cloud9am</t>
  </si>
  <si>
    <t>Temp3pm</t>
  </si>
  <si>
    <t>RainToday</t>
  </si>
  <si>
    <t>NW</t>
  </si>
  <si>
    <t>SW</t>
  </si>
  <si>
    <t>No</t>
  </si>
  <si>
    <t>Yes</t>
  </si>
  <si>
    <t>ENE</t>
  </si>
  <si>
    <t>E</t>
  </si>
  <si>
    <t>W</t>
  </si>
  <si>
    <t>N</t>
  </si>
  <si>
    <t>NNE</t>
  </si>
  <si>
    <t>WNW</t>
  </si>
  <si>
    <t>SSE</t>
  </si>
  <si>
    <t>ESE</t>
  </si>
  <si>
    <t>SE</t>
  </si>
  <si>
    <t>S</t>
  </si>
  <si>
    <t>WSW</t>
  </si>
  <si>
    <t>NE</t>
  </si>
  <si>
    <t>NNW</t>
  </si>
  <si>
    <t>SSW</t>
  </si>
  <si>
    <t>NA</t>
  </si>
  <si>
    <t>ROUND</t>
  </si>
  <si>
    <t>SQRT</t>
  </si>
  <si>
    <t>ROUND(SQRT)</t>
  </si>
  <si>
    <t>MIN</t>
  </si>
  <si>
    <t>MAX</t>
  </si>
  <si>
    <t>AVERAGE</t>
  </si>
  <si>
    <t>SUM</t>
  </si>
  <si>
    <t>MEDIAN</t>
  </si>
  <si>
    <t>RANK(LAR)</t>
  </si>
  <si>
    <t>RANK(SMALL)</t>
  </si>
  <si>
    <t>LEFT</t>
  </si>
  <si>
    <t>RIGHT</t>
  </si>
  <si>
    <t>LENGTH</t>
  </si>
  <si>
    <t>TODAY</t>
  </si>
  <si>
    <t>EOMONTH</t>
  </si>
  <si>
    <t>NETWORKDAYS</t>
  </si>
  <si>
    <t>WEEKDAYS</t>
  </si>
  <si>
    <t>YEAR</t>
  </si>
  <si>
    <t>MONTH</t>
  </si>
  <si>
    <t>DAYS</t>
  </si>
  <si>
    <t>DATE</t>
  </si>
  <si>
    <t>APPLE</t>
  </si>
  <si>
    <t>FIND</t>
  </si>
  <si>
    <t>REPLACE</t>
  </si>
  <si>
    <t>ABC-2005-001</t>
  </si>
  <si>
    <t>SUBSTITUTE</t>
  </si>
  <si>
    <t>MID</t>
  </si>
  <si>
    <t>SEARCH</t>
  </si>
  <si>
    <t>CONCAT</t>
  </si>
  <si>
    <t>VICKY</t>
  </si>
  <si>
    <t>DON</t>
  </si>
  <si>
    <t>PRODUCT</t>
  </si>
  <si>
    <t>FACTORIAL</t>
  </si>
  <si>
    <t>MOD</t>
  </si>
  <si>
    <t>ROUNDUP</t>
  </si>
  <si>
    <t>ROUNDDOWN</t>
  </si>
  <si>
    <t>MOUSE</t>
  </si>
  <si>
    <t>KEYBOARD</t>
  </si>
  <si>
    <t>COLOR</t>
  </si>
  <si>
    <t>RED</t>
  </si>
  <si>
    <t>BLUE</t>
  </si>
  <si>
    <t>YELLOW</t>
  </si>
  <si>
    <t>REGION</t>
  </si>
  <si>
    <t>AP</t>
  </si>
  <si>
    <t>MH</t>
  </si>
  <si>
    <t>VALUE</t>
  </si>
  <si>
    <t>TOTAL</t>
  </si>
  <si>
    <t>SUMIF</t>
  </si>
  <si>
    <t>SUMIFS</t>
  </si>
  <si>
    <t>RED+AP</t>
  </si>
  <si>
    <t>RED+AP+MOUSE</t>
  </si>
  <si>
    <t>AVERAGEIF</t>
  </si>
  <si>
    <t>AVERAGEIFS</t>
  </si>
  <si>
    <t>RED+MOUSE+AP</t>
  </si>
  <si>
    <t>RED+MOUSE</t>
  </si>
  <si>
    <t>VLOOKUP</t>
  </si>
  <si>
    <t>HLOOKUP</t>
  </si>
  <si>
    <t>INDEX</t>
  </si>
  <si>
    <t>MATCH</t>
  </si>
  <si>
    <t>XLOOKUP</t>
  </si>
  <si>
    <t>AGE</t>
  </si>
  <si>
    <t>AGE_BINS</t>
  </si>
  <si>
    <t>NAME</t>
  </si>
  <si>
    <t>MATHS</t>
  </si>
  <si>
    <t>SCIENCE</t>
  </si>
  <si>
    <t>OR</t>
  </si>
  <si>
    <t>AND</t>
  </si>
  <si>
    <t>RESULT(OR)</t>
  </si>
  <si>
    <t>RESULT(AND)</t>
  </si>
  <si>
    <t>A</t>
  </si>
  <si>
    <t>B</t>
  </si>
  <si>
    <t>C</t>
  </si>
  <si>
    <t>D</t>
  </si>
  <si>
    <t>F</t>
  </si>
  <si>
    <t xml:space="preserve"> </t>
  </si>
  <si>
    <t>ISERROR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</si>
</sst>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4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18EEC-89CC-4598-B524-82C184AD00D3}" name="Table1" displayName="Table1" ref="AI31:AM36" totalsRowShown="0" headerRowDxfId="1">
  <autoFilter ref="AI31:AM36" xr:uid="{07A18EEC-89CC-4598-B524-82C184AD00D3}"/>
  <tableColumns count="5">
    <tableColumn id="1" xr3:uid="{9DB1EB4E-05C4-4236-88D7-E25843B68625}" name="DATE" dataDxfId="0"/>
    <tableColumn id="2" xr3:uid="{0FD35AE1-EC22-4A3B-8D86-AF6921DD2267}" name="PRODUCT"/>
    <tableColumn id="3" xr3:uid="{D3105D58-DD0E-475E-8A53-A951455DDE99}" name="COLOR"/>
    <tableColumn id="4" xr3:uid="{0409EAC8-06FD-40F3-B845-9E07B37465A8}" name="REGION"/>
    <tableColumn id="5" xr3:uid="{00636D7B-4CB4-4CC3-AE9E-3C91F7DFF708}" name="VALUE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8522D-98BD-4130-B7D0-071C90605A2A}">
  <dimension ref="A1:AR367"/>
  <sheetViews>
    <sheetView tabSelected="1" topLeftCell="X76" zoomScaleNormal="100" workbookViewId="0">
      <selection activeCell="AK99" sqref="AK99"/>
    </sheetView>
  </sheetViews>
  <sheetFormatPr defaultRowHeight="15" x14ac:dyDescent="0.25"/>
  <cols>
    <col min="20" max="20" width="9.85546875" customWidth="1"/>
    <col min="32" max="32" width="11.28515625" bestFit="1" customWidth="1"/>
    <col min="35" max="35" width="10.85546875" customWidth="1"/>
    <col min="36" max="36" width="11.7109375" customWidth="1"/>
    <col min="38" max="38" width="10.140625" customWidth="1"/>
    <col min="39" max="39" width="12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s="5" t="s">
        <v>36</v>
      </c>
      <c r="T1" s="5" t="s">
        <v>37</v>
      </c>
      <c r="U1" s="5" t="s">
        <v>38</v>
      </c>
      <c r="V1" s="5" t="s">
        <v>39</v>
      </c>
      <c r="W1" s="5" t="s">
        <v>40</v>
      </c>
      <c r="X1" s="5" t="s">
        <v>41</v>
      </c>
      <c r="Y1" s="5" t="s">
        <v>42</v>
      </c>
      <c r="Z1" s="5" t="s">
        <v>43</v>
      </c>
      <c r="AA1" s="5" t="s">
        <v>44</v>
      </c>
      <c r="AB1" s="5" t="s">
        <v>45</v>
      </c>
      <c r="AC1" s="5" t="s">
        <v>46</v>
      </c>
      <c r="AD1" s="5" t="s">
        <v>47</v>
      </c>
      <c r="AE1" s="5" t="s">
        <v>48</v>
      </c>
      <c r="AF1" s="6" t="s">
        <v>49</v>
      </c>
    </row>
    <row r="2" spans="1:39" x14ac:dyDescent="0.25">
      <c r="A2">
        <v>8</v>
      </c>
      <c r="B2">
        <v>24.3</v>
      </c>
      <c r="C2">
        <v>0</v>
      </c>
      <c r="D2">
        <v>3.4</v>
      </c>
      <c r="E2">
        <v>6.3</v>
      </c>
      <c r="F2">
        <v>30</v>
      </c>
      <c r="G2" t="s">
        <v>18</v>
      </c>
      <c r="H2" t="s">
        <v>17</v>
      </c>
      <c r="I2">
        <v>6</v>
      </c>
      <c r="J2">
        <v>20</v>
      </c>
      <c r="K2">
        <v>68</v>
      </c>
      <c r="L2">
        <v>29</v>
      </c>
      <c r="M2">
        <v>1019.7</v>
      </c>
      <c r="N2">
        <v>1015</v>
      </c>
      <c r="O2">
        <v>7</v>
      </c>
      <c r="P2">
        <v>23.6</v>
      </c>
      <c r="Q2" t="s">
        <v>19</v>
      </c>
      <c r="S2" cm="1">
        <f t="array" ref="S2:S367">ROUND(B2:B367,0)</f>
        <v>24</v>
      </c>
      <c r="T2" cm="1">
        <f t="array" ref="T2:T367">SQRT(M2:M367)</f>
        <v>31.932741817764413</v>
      </c>
      <c r="U2" cm="1">
        <f t="array" ref="U2:U367">ROUND(SQRT(T2:T367),2)</f>
        <v>5.65</v>
      </c>
      <c r="V2">
        <f>MIN(D2:D367)</f>
        <v>0.2</v>
      </c>
      <c r="W2">
        <f t="shared" ref="W2:W65" si="0">MAX(I2:J2)</f>
        <v>20</v>
      </c>
      <c r="X2">
        <f t="shared" ref="X2:X65" si="1">AVERAGE(I2:J2,K2:L2)</f>
        <v>30.75</v>
      </c>
      <c r="Y2">
        <f t="shared" ref="Y2:Y65" si="2">SUM(I2,E2,J2)</f>
        <v>32.299999999999997</v>
      </c>
      <c r="Z2">
        <f t="shared" ref="Z2:Z65" si="3">MEDIAN(D2,L2,K2)</f>
        <v>29</v>
      </c>
      <c r="AA2">
        <f t="shared" ref="AA2:AA65" si="4">RANK(F2,F2:F367,0)</f>
        <v>280</v>
      </c>
      <c r="AB2">
        <f t="shared" ref="AB2:AB65" si="5">RANK(F2,F2:F367,1)</f>
        <v>63</v>
      </c>
      <c r="AC2" t="str">
        <f t="shared" ref="AC2:AC65" si="6">LEFT(Q2,1)</f>
        <v>N</v>
      </c>
      <c r="AD2" t="str">
        <f t="shared" ref="AD2:AD65" si="7">RIGHT(H2,1)</f>
        <v>W</v>
      </c>
      <c r="AE2">
        <f t="shared" ref="AE2:AE65" si="8">LEN(G2)</f>
        <v>2</v>
      </c>
      <c r="AF2" s="1">
        <f ca="1">TODAY()</f>
        <v>46175</v>
      </c>
    </row>
    <row r="3" spans="1:39" x14ac:dyDescent="0.25">
      <c r="A3">
        <v>14</v>
      </c>
      <c r="B3">
        <v>26.9</v>
      </c>
      <c r="C3">
        <v>3.6</v>
      </c>
      <c r="D3">
        <v>4.4000000000000004</v>
      </c>
      <c r="E3">
        <v>9.6999999999999993</v>
      </c>
      <c r="F3">
        <v>39</v>
      </c>
      <c r="G3" t="s">
        <v>22</v>
      </c>
      <c r="H3" t="s">
        <v>23</v>
      </c>
      <c r="I3">
        <v>4</v>
      </c>
      <c r="J3">
        <v>17</v>
      </c>
      <c r="K3">
        <v>80</v>
      </c>
      <c r="L3">
        <v>36</v>
      </c>
      <c r="M3">
        <v>1012.4</v>
      </c>
      <c r="N3">
        <v>1008.4</v>
      </c>
      <c r="O3">
        <v>5</v>
      </c>
      <c r="P3">
        <v>25.7</v>
      </c>
      <c r="Q3" t="s">
        <v>20</v>
      </c>
      <c r="S3">
        <v>27</v>
      </c>
      <c r="T3">
        <v>31.818233766191359</v>
      </c>
      <c r="U3">
        <v>5.64</v>
      </c>
      <c r="W3">
        <f t="shared" si="0"/>
        <v>17</v>
      </c>
      <c r="X3">
        <f t="shared" si="1"/>
        <v>34.25</v>
      </c>
      <c r="Y3">
        <f t="shared" si="2"/>
        <v>30.7</v>
      </c>
      <c r="Z3">
        <f t="shared" si="3"/>
        <v>36</v>
      </c>
      <c r="AA3">
        <f t="shared" si="4"/>
        <v>176</v>
      </c>
      <c r="AB3">
        <f t="shared" si="5"/>
        <v>158</v>
      </c>
      <c r="AC3" t="str">
        <f t="shared" si="6"/>
        <v>Y</v>
      </c>
      <c r="AD3" t="str">
        <f t="shared" si="7"/>
        <v>W</v>
      </c>
      <c r="AE3">
        <f t="shared" si="8"/>
        <v>1</v>
      </c>
      <c r="AF3" s="6" t="s">
        <v>50</v>
      </c>
    </row>
    <row r="4" spans="1:39" x14ac:dyDescent="0.25">
      <c r="A4">
        <v>13.7</v>
      </c>
      <c r="B4">
        <v>23.4</v>
      </c>
      <c r="C4">
        <v>3.6</v>
      </c>
      <c r="D4">
        <v>5.8</v>
      </c>
      <c r="E4">
        <v>3.3</v>
      </c>
      <c r="F4">
        <v>85</v>
      </c>
      <c r="G4" t="s">
        <v>24</v>
      </c>
      <c r="H4" t="s">
        <v>25</v>
      </c>
      <c r="I4">
        <v>6</v>
      </c>
      <c r="J4">
        <v>6</v>
      </c>
      <c r="K4">
        <v>82</v>
      </c>
      <c r="L4">
        <v>69</v>
      </c>
      <c r="M4">
        <v>1009.5</v>
      </c>
      <c r="N4">
        <v>1007.2</v>
      </c>
      <c r="O4">
        <v>8</v>
      </c>
      <c r="P4">
        <v>20.2</v>
      </c>
      <c r="Q4" t="s">
        <v>20</v>
      </c>
      <c r="S4">
        <v>23</v>
      </c>
      <c r="T4">
        <v>31.77262973063451</v>
      </c>
      <c r="U4">
        <v>5.64</v>
      </c>
      <c r="W4">
        <f t="shared" si="0"/>
        <v>6</v>
      </c>
      <c r="X4">
        <f t="shared" si="1"/>
        <v>40.75</v>
      </c>
      <c r="Y4">
        <f t="shared" si="2"/>
        <v>15.3</v>
      </c>
      <c r="Z4">
        <f t="shared" si="3"/>
        <v>69</v>
      </c>
      <c r="AA4">
        <f t="shared" si="4"/>
        <v>2</v>
      </c>
      <c r="AB4">
        <f t="shared" si="5"/>
        <v>361</v>
      </c>
      <c r="AC4" t="str">
        <f t="shared" si="6"/>
        <v>Y</v>
      </c>
      <c r="AD4" t="str">
        <f t="shared" si="7"/>
        <v>E</v>
      </c>
      <c r="AE4">
        <f t="shared" si="8"/>
        <v>1</v>
      </c>
      <c r="AF4" s="1">
        <f ca="1">EOMONTH(TODAY(),4)</f>
        <v>46326</v>
      </c>
      <c r="AI4" s="3" t="s">
        <v>58</v>
      </c>
      <c r="AK4" s="3" t="s">
        <v>58</v>
      </c>
      <c r="AM4" s="5" t="s">
        <v>67</v>
      </c>
    </row>
    <row r="5" spans="1:39" x14ac:dyDescent="0.25">
      <c r="A5">
        <v>13.3</v>
      </c>
      <c r="B5">
        <v>15.5</v>
      </c>
      <c r="C5">
        <v>39.799999999999997</v>
      </c>
      <c r="D5">
        <v>7.2</v>
      </c>
      <c r="E5">
        <v>9.1</v>
      </c>
      <c r="F5">
        <v>54</v>
      </c>
      <c r="G5" t="s">
        <v>26</v>
      </c>
      <c r="H5" t="s">
        <v>23</v>
      </c>
      <c r="I5">
        <v>30</v>
      </c>
      <c r="J5">
        <v>24</v>
      </c>
      <c r="K5">
        <v>62</v>
      </c>
      <c r="L5">
        <v>56</v>
      </c>
      <c r="M5">
        <v>1005.5</v>
      </c>
      <c r="N5">
        <v>1007</v>
      </c>
      <c r="O5">
        <v>2</v>
      </c>
      <c r="P5">
        <v>14.1</v>
      </c>
      <c r="Q5" t="s">
        <v>20</v>
      </c>
      <c r="S5">
        <v>16</v>
      </c>
      <c r="T5">
        <v>31.709619991415853</v>
      </c>
      <c r="U5">
        <v>5.63</v>
      </c>
      <c r="W5">
        <f t="shared" si="0"/>
        <v>30</v>
      </c>
      <c r="X5">
        <f t="shared" si="1"/>
        <v>43</v>
      </c>
      <c r="Y5">
        <f t="shared" si="2"/>
        <v>63.1</v>
      </c>
      <c r="Z5">
        <f t="shared" si="3"/>
        <v>56</v>
      </c>
      <c r="AA5">
        <f t="shared" si="4"/>
        <v>39</v>
      </c>
      <c r="AB5">
        <f t="shared" si="5"/>
        <v>320</v>
      </c>
      <c r="AC5" t="str">
        <f t="shared" si="6"/>
        <v>Y</v>
      </c>
      <c r="AD5" t="str">
        <f t="shared" si="7"/>
        <v>W</v>
      </c>
      <c r="AE5">
        <f t="shared" si="8"/>
        <v>3</v>
      </c>
      <c r="AF5" s="6" t="s">
        <v>51</v>
      </c>
      <c r="AI5" t="s">
        <v>57</v>
      </c>
      <c r="AK5">
        <f>FIND("1",S16)</f>
        <v>2</v>
      </c>
      <c r="AM5">
        <f>PRODUCT(Z2,AA2)</f>
        <v>8120</v>
      </c>
    </row>
    <row r="6" spans="1:39" x14ac:dyDescent="0.25">
      <c r="A6">
        <v>7.6</v>
      </c>
      <c r="B6">
        <v>16.100000000000001</v>
      </c>
      <c r="C6">
        <v>2.8</v>
      </c>
      <c r="D6">
        <v>5.6</v>
      </c>
      <c r="E6">
        <v>10.6</v>
      </c>
      <c r="F6">
        <v>50</v>
      </c>
      <c r="G6" t="s">
        <v>27</v>
      </c>
      <c r="H6" t="s">
        <v>28</v>
      </c>
      <c r="I6">
        <v>20</v>
      </c>
      <c r="J6">
        <v>28</v>
      </c>
      <c r="K6">
        <v>68</v>
      </c>
      <c r="L6">
        <v>49</v>
      </c>
      <c r="M6">
        <v>1018.3</v>
      </c>
      <c r="N6">
        <v>1018.5</v>
      </c>
      <c r="O6">
        <v>7</v>
      </c>
      <c r="P6">
        <v>15.4</v>
      </c>
      <c r="Q6" t="s">
        <v>20</v>
      </c>
      <c r="S6">
        <v>16</v>
      </c>
      <c r="T6">
        <v>31.910813214332222</v>
      </c>
      <c r="U6">
        <v>5.65</v>
      </c>
      <c r="W6">
        <f t="shared" si="0"/>
        <v>28</v>
      </c>
      <c r="X6">
        <f t="shared" si="1"/>
        <v>41.25</v>
      </c>
      <c r="Y6">
        <f t="shared" si="2"/>
        <v>58.6</v>
      </c>
      <c r="Z6">
        <f t="shared" si="3"/>
        <v>49</v>
      </c>
      <c r="AA6">
        <f t="shared" si="4"/>
        <v>52</v>
      </c>
      <c r="AB6">
        <f t="shared" si="5"/>
        <v>294</v>
      </c>
      <c r="AC6" t="str">
        <f t="shared" si="6"/>
        <v>Y</v>
      </c>
      <c r="AD6" t="str">
        <f t="shared" si="7"/>
        <v>E</v>
      </c>
      <c r="AE6">
        <f t="shared" si="8"/>
        <v>3</v>
      </c>
      <c r="AF6">
        <f ca="1">NETWORKDAYS(TODAY(),TODAY()+24)</f>
        <v>19</v>
      </c>
      <c r="AG6">
        <f>NETWORKDAYS.INTL("02-06-2026","15-06-2026","0000001")</f>
        <v>12</v>
      </c>
      <c r="AI6">
        <f>FIND("P","APPLE",2)</f>
        <v>2</v>
      </c>
      <c r="AK6">
        <f>FIND("0",N34)</f>
        <v>2</v>
      </c>
      <c r="AM6">
        <f>PRODUCT(Z8,AA8)</f>
        <v>5734</v>
      </c>
    </row>
    <row r="7" spans="1:39" x14ac:dyDescent="0.25">
      <c r="A7">
        <v>6.2</v>
      </c>
      <c r="B7">
        <v>16.899999999999999</v>
      </c>
      <c r="C7">
        <v>0</v>
      </c>
      <c r="D7">
        <v>5.8</v>
      </c>
      <c r="E7">
        <v>8.1999999999999993</v>
      </c>
      <c r="F7">
        <v>44</v>
      </c>
      <c r="G7" t="s">
        <v>29</v>
      </c>
      <c r="H7" t="s">
        <v>22</v>
      </c>
      <c r="I7">
        <v>20</v>
      </c>
      <c r="J7">
        <v>24</v>
      </c>
      <c r="K7">
        <v>70</v>
      </c>
      <c r="L7">
        <v>57</v>
      </c>
      <c r="M7">
        <v>1023.8</v>
      </c>
      <c r="N7">
        <v>1021.7</v>
      </c>
      <c r="O7">
        <v>7</v>
      </c>
      <c r="P7">
        <v>14.8</v>
      </c>
      <c r="Q7" t="s">
        <v>19</v>
      </c>
      <c r="S7">
        <v>17</v>
      </c>
      <c r="T7">
        <v>31.996874847397205</v>
      </c>
      <c r="U7">
        <v>5.66</v>
      </c>
      <c r="W7">
        <f t="shared" si="0"/>
        <v>24</v>
      </c>
      <c r="X7">
        <f t="shared" si="1"/>
        <v>42.75</v>
      </c>
      <c r="Y7">
        <f t="shared" si="2"/>
        <v>52.2</v>
      </c>
      <c r="Z7">
        <f t="shared" si="3"/>
        <v>57</v>
      </c>
      <c r="AA7">
        <f t="shared" si="4"/>
        <v>108</v>
      </c>
      <c r="AB7">
        <f t="shared" si="5"/>
        <v>238</v>
      </c>
      <c r="AC7" t="str">
        <f t="shared" si="6"/>
        <v>N</v>
      </c>
      <c r="AD7" t="str">
        <f t="shared" si="7"/>
        <v>E</v>
      </c>
      <c r="AE7">
        <f t="shared" si="8"/>
        <v>2</v>
      </c>
      <c r="AF7">
        <f>NETWORKDAYS("02-06-2026","15-06-2026")</f>
        <v>10</v>
      </c>
      <c r="AI7">
        <f>FIND("L","APPLE")</f>
        <v>4</v>
      </c>
      <c r="AM7">
        <f>PRODUCT(Z2:Z12,AA2:AA12)</f>
        <v>2.5355833418900381E+39</v>
      </c>
    </row>
    <row r="8" spans="1:39" x14ac:dyDescent="0.25">
      <c r="A8">
        <v>6.1</v>
      </c>
      <c r="B8">
        <v>18.2</v>
      </c>
      <c r="C8">
        <v>0.2</v>
      </c>
      <c r="D8">
        <v>4.2</v>
      </c>
      <c r="E8">
        <v>8.4</v>
      </c>
      <c r="F8">
        <v>43</v>
      </c>
      <c r="G8" t="s">
        <v>29</v>
      </c>
      <c r="H8" t="s">
        <v>28</v>
      </c>
      <c r="I8">
        <v>19</v>
      </c>
      <c r="J8">
        <v>26</v>
      </c>
      <c r="K8">
        <v>63</v>
      </c>
      <c r="L8">
        <v>47</v>
      </c>
      <c r="M8">
        <v>1024.5999999999999</v>
      </c>
      <c r="N8">
        <v>1022.2</v>
      </c>
      <c r="O8">
        <v>4</v>
      </c>
      <c r="P8">
        <v>17.3</v>
      </c>
      <c r="Q8" t="s">
        <v>19</v>
      </c>
      <c r="S8">
        <v>18</v>
      </c>
      <c r="T8">
        <v>32.009373627111167</v>
      </c>
      <c r="U8">
        <v>5.66</v>
      </c>
      <c r="W8">
        <f t="shared" si="0"/>
        <v>26</v>
      </c>
      <c r="X8">
        <f t="shared" si="1"/>
        <v>38.75</v>
      </c>
      <c r="Y8">
        <f t="shared" si="2"/>
        <v>53.4</v>
      </c>
      <c r="Z8">
        <f t="shared" si="3"/>
        <v>47</v>
      </c>
      <c r="AA8">
        <f t="shared" si="4"/>
        <v>122</v>
      </c>
      <c r="AB8">
        <f t="shared" si="5"/>
        <v>220</v>
      </c>
      <c r="AC8" t="str">
        <f t="shared" si="6"/>
        <v>N</v>
      </c>
      <c r="AD8" t="str">
        <f t="shared" si="7"/>
        <v>E</v>
      </c>
      <c r="AE8">
        <f t="shared" si="8"/>
        <v>2</v>
      </c>
      <c r="AF8" s="6" t="s">
        <v>52</v>
      </c>
    </row>
    <row r="9" spans="1:39" x14ac:dyDescent="0.25">
      <c r="A9">
        <v>8.3000000000000007</v>
      </c>
      <c r="B9">
        <v>17</v>
      </c>
      <c r="C9">
        <v>0</v>
      </c>
      <c r="D9">
        <v>5.6</v>
      </c>
      <c r="E9">
        <v>4.5999999999999996</v>
      </c>
      <c r="F9">
        <v>41</v>
      </c>
      <c r="G9" t="s">
        <v>29</v>
      </c>
      <c r="H9" t="s">
        <v>22</v>
      </c>
      <c r="I9">
        <v>11</v>
      </c>
      <c r="J9">
        <v>24</v>
      </c>
      <c r="K9">
        <v>65</v>
      </c>
      <c r="L9">
        <v>57</v>
      </c>
      <c r="M9">
        <v>1026.2</v>
      </c>
      <c r="N9">
        <v>1024.2</v>
      </c>
      <c r="O9">
        <v>6</v>
      </c>
      <c r="P9">
        <v>15.5</v>
      </c>
      <c r="Q9" t="s">
        <v>19</v>
      </c>
      <c r="S9">
        <v>17</v>
      </c>
      <c r="T9">
        <v>32.034356556672087</v>
      </c>
      <c r="U9">
        <v>5.66</v>
      </c>
      <c r="W9">
        <f t="shared" si="0"/>
        <v>24</v>
      </c>
      <c r="X9">
        <f t="shared" si="1"/>
        <v>39.25</v>
      </c>
      <c r="Y9">
        <f t="shared" si="2"/>
        <v>39.6</v>
      </c>
      <c r="Z9">
        <f t="shared" si="3"/>
        <v>57</v>
      </c>
      <c r="AA9">
        <f t="shared" si="4"/>
        <v>139</v>
      </c>
      <c r="AB9">
        <f t="shared" si="5"/>
        <v>188</v>
      </c>
      <c r="AC9" t="str">
        <f t="shared" si="6"/>
        <v>N</v>
      </c>
      <c r="AD9" t="str">
        <f t="shared" si="7"/>
        <v>E</v>
      </c>
      <c r="AE9">
        <f t="shared" si="8"/>
        <v>2</v>
      </c>
      <c r="AF9">
        <f ca="1">WEEKDAY(TODAY())</f>
        <v>3</v>
      </c>
      <c r="AI9" s="4" t="s">
        <v>59</v>
      </c>
      <c r="AK9" s="4" t="s">
        <v>59</v>
      </c>
      <c r="AM9" s="3" t="s">
        <v>68</v>
      </c>
    </row>
    <row r="10" spans="1:39" x14ac:dyDescent="0.25">
      <c r="A10">
        <v>8.8000000000000007</v>
      </c>
      <c r="B10">
        <v>19.5</v>
      </c>
      <c r="C10">
        <v>0</v>
      </c>
      <c r="D10">
        <v>4</v>
      </c>
      <c r="E10">
        <v>4.0999999999999996</v>
      </c>
      <c r="F10">
        <v>48</v>
      </c>
      <c r="G10" t="s">
        <v>22</v>
      </c>
      <c r="H10" t="s">
        <v>21</v>
      </c>
      <c r="I10">
        <v>19</v>
      </c>
      <c r="J10">
        <v>17</v>
      </c>
      <c r="K10">
        <v>70</v>
      </c>
      <c r="L10">
        <v>48</v>
      </c>
      <c r="M10">
        <v>1026.0999999999999</v>
      </c>
      <c r="N10">
        <v>1022.7</v>
      </c>
      <c r="O10">
        <v>7</v>
      </c>
      <c r="P10">
        <v>18.899999999999999</v>
      </c>
      <c r="Q10" t="s">
        <v>19</v>
      </c>
      <c r="S10">
        <v>20</v>
      </c>
      <c r="T10">
        <v>32.032795694412933</v>
      </c>
      <c r="U10">
        <v>5.66</v>
      </c>
      <c r="W10">
        <f t="shared" si="0"/>
        <v>19</v>
      </c>
      <c r="X10">
        <f t="shared" si="1"/>
        <v>38.5</v>
      </c>
      <c r="Y10">
        <f t="shared" si="2"/>
        <v>40.1</v>
      </c>
      <c r="Z10">
        <f t="shared" si="3"/>
        <v>48</v>
      </c>
      <c r="AA10">
        <f t="shared" si="4"/>
        <v>67</v>
      </c>
      <c r="AB10">
        <f t="shared" si="5"/>
        <v>273</v>
      </c>
      <c r="AC10" t="str">
        <f t="shared" si="6"/>
        <v>N</v>
      </c>
      <c r="AD10" t="str">
        <f t="shared" si="7"/>
        <v>E</v>
      </c>
      <c r="AE10">
        <f t="shared" si="8"/>
        <v>1</v>
      </c>
      <c r="AF10">
        <f>WEEKDAY("21-10-2026")</f>
        <v>4</v>
      </c>
      <c r="AI10" t="s">
        <v>60</v>
      </c>
      <c r="AK10" t="str">
        <f>REPLACE(T9,4,2,"33")</f>
        <v>32.3343565566721</v>
      </c>
      <c r="AM10">
        <f>FACT(6)</f>
        <v>720</v>
      </c>
    </row>
    <row r="11" spans="1:39" x14ac:dyDescent="0.25">
      <c r="A11">
        <v>8.4</v>
      </c>
      <c r="B11">
        <v>22.8</v>
      </c>
      <c r="C11">
        <v>16.2</v>
      </c>
      <c r="D11">
        <v>5.4</v>
      </c>
      <c r="E11">
        <v>7.7</v>
      </c>
      <c r="F11">
        <v>31</v>
      </c>
      <c r="G11" t="s">
        <v>30</v>
      </c>
      <c r="H11" t="s">
        <v>28</v>
      </c>
      <c r="I11">
        <v>7</v>
      </c>
      <c r="J11">
        <v>6</v>
      </c>
      <c r="K11">
        <v>82</v>
      </c>
      <c r="L11">
        <v>32</v>
      </c>
      <c r="M11">
        <v>1024.0999999999999</v>
      </c>
      <c r="N11">
        <v>1020.7</v>
      </c>
      <c r="O11">
        <v>7</v>
      </c>
      <c r="P11">
        <v>21.7</v>
      </c>
      <c r="Q11" t="s">
        <v>20</v>
      </c>
      <c r="S11">
        <v>23</v>
      </c>
      <c r="T11">
        <v>32.001562461854888</v>
      </c>
      <c r="U11">
        <v>5.66</v>
      </c>
      <c r="W11">
        <f t="shared" si="0"/>
        <v>7</v>
      </c>
      <c r="X11">
        <f t="shared" si="1"/>
        <v>31.75</v>
      </c>
      <c r="Y11">
        <f t="shared" si="2"/>
        <v>20.7</v>
      </c>
      <c r="Z11">
        <f t="shared" si="3"/>
        <v>32</v>
      </c>
      <c r="AA11">
        <f t="shared" si="4"/>
        <v>242</v>
      </c>
      <c r="AB11">
        <f t="shared" si="5"/>
        <v>85</v>
      </c>
      <c r="AC11" t="str">
        <f t="shared" si="6"/>
        <v>Y</v>
      </c>
      <c r="AD11" t="str">
        <f t="shared" si="7"/>
        <v>E</v>
      </c>
      <c r="AE11">
        <f t="shared" si="8"/>
        <v>1</v>
      </c>
      <c r="AF11" s="6" t="s">
        <v>53</v>
      </c>
      <c r="AI11" t="str">
        <f>REPLACE(AI10,1,3,"CBA")</f>
        <v>CBA-2005-001</v>
      </c>
      <c r="AK11" t="str">
        <f>REPLACE(Q32,2,1,"A")</f>
        <v>YAs</v>
      </c>
    </row>
    <row r="12" spans="1:39" x14ac:dyDescent="0.25">
      <c r="A12">
        <v>9.1</v>
      </c>
      <c r="B12">
        <v>25.2</v>
      </c>
      <c r="C12">
        <v>0</v>
      </c>
      <c r="D12">
        <v>4.2</v>
      </c>
      <c r="E12">
        <v>11.9</v>
      </c>
      <c r="F12">
        <v>30</v>
      </c>
      <c r="G12" t="s">
        <v>29</v>
      </c>
      <c r="H12" t="s">
        <v>17</v>
      </c>
      <c r="I12">
        <v>6</v>
      </c>
      <c r="J12">
        <v>9</v>
      </c>
      <c r="K12">
        <v>74</v>
      </c>
      <c r="L12">
        <v>34</v>
      </c>
      <c r="M12">
        <v>1024.4000000000001</v>
      </c>
      <c r="N12">
        <v>1021.1</v>
      </c>
      <c r="O12">
        <v>1</v>
      </c>
      <c r="P12">
        <v>24</v>
      </c>
      <c r="Q12" t="s">
        <v>19</v>
      </c>
      <c r="S12">
        <v>25</v>
      </c>
      <c r="T12">
        <v>32.006249389767618</v>
      </c>
      <c r="U12">
        <v>5.66</v>
      </c>
      <c r="W12">
        <f t="shared" si="0"/>
        <v>9</v>
      </c>
      <c r="X12">
        <f t="shared" si="1"/>
        <v>30.75</v>
      </c>
      <c r="Y12">
        <f t="shared" si="2"/>
        <v>26.9</v>
      </c>
      <c r="Z12">
        <f t="shared" si="3"/>
        <v>34</v>
      </c>
      <c r="AA12">
        <f t="shared" si="4"/>
        <v>271</v>
      </c>
      <c r="AB12">
        <f t="shared" si="5"/>
        <v>63</v>
      </c>
      <c r="AC12" t="str">
        <f t="shared" si="6"/>
        <v>N</v>
      </c>
      <c r="AD12" t="str">
        <f t="shared" si="7"/>
        <v>W</v>
      </c>
      <c r="AE12">
        <f t="shared" si="8"/>
        <v>2</v>
      </c>
      <c r="AF12">
        <f ca="1">YEAR(TODAY())</f>
        <v>2026</v>
      </c>
    </row>
    <row r="13" spans="1:39" x14ac:dyDescent="0.25">
      <c r="A13">
        <v>8.5</v>
      </c>
      <c r="B13">
        <v>27.3</v>
      </c>
      <c r="C13">
        <v>0.2</v>
      </c>
      <c r="D13">
        <v>7.2</v>
      </c>
      <c r="E13">
        <v>12.5</v>
      </c>
      <c r="F13">
        <v>41</v>
      </c>
      <c r="G13" t="s">
        <v>22</v>
      </c>
      <c r="H13" t="s">
        <v>17</v>
      </c>
      <c r="I13">
        <v>2</v>
      </c>
      <c r="J13">
        <v>15</v>
      </c>
      <c r="K13">
        <v>54</v>
      </c>
      <c r="L13">
        <v>35</v>
      </c>
      <c r="M13">
        <v>1023.8</v>
      </c>
      <c r="N13">
        <v>1019.9</v>
      </c>
      <c r="O13">
        <v>0</v>
      </c>
      <c r="P13">
        <v>26</v>
      </c>
      <c r="Q13" t="s">
        <v>19</v>
      </c>
      <c r="S13">
        <v>27</v>
      </c>
      <c r="T13">
        <v>31.996874847397205</v>
      </c>
      <c r="U13">
        <v>5.66</v>
      </c>
      <c r="W13">
        <f t="shared" si="0"/>
        <v>15</v>
      </c>
      <c r="X13">
        <f t="shared" si="1"/>
        <v>26.5</v>
      </c>
      <c r="Y13">
        <f t="shared" si="2"/>
        <v>29.5</v>
      </c>
      <c r="Z13">
        <f t="shared" si="3"/>
        <v>35</v>
      </c>
      <c r="AA13">
        <f t="shared" si="4"/>
        <v>138</v>
      </c>
      <c r="AB13">
        <f t="shared" si="5"/>
        <v>186</v>
      </c>
      <c r="AC13" t="str">
        <f t="shared" si="6"/>
        <v>N</v>
      </c>
      <c r="AD13" t="str">
        <f t="shared" si="7"/>
        <v>W</v>
      </c>
      <c r="AE13">
        <f t="shared" si="8"/>
        <v>1</v>
      </c>
      <c r="AF13" s="6" t="s">
        <v>54</v>
      </c>
      <c r="AI13" s="5" t="s">
        <v>61</v>
      </c>
      <c r="AK13" s="5" t="s">
        <v>61</v>
      </c>
      <c r="AM13" s="6" t="s">
        <v>36</v>
      </c>
    </row>
    <row r="14" spans="1:39" x14ac:dyDescent="0.25">
      <c r="A14">
        <v>10.1</v>
      </c>
      <c r="B14">
        <v>27.9</v>
      </c>
      <c r="C14">
        <v>0</v>
      </c>
      <c r="D14">
        <v>7.2</v>
      </c>
      <c r="E14">
        <v>13</v>
      </c>
      <c r="F14">
        <v>30</v>
      </c>
      <c r="G14" t="s">
        <v>30</v>
      </c>
      <c r="H14" t="s">
        <v>17</v>
      </c>
      <c r="I14">
        <v>6</v>
      </c>
      <c r="J14">
        <v>7</v>
      </c>
      <c r="K14">
        <v>62</v>
      </c>
      <c r="L14">
        <v>29</v>
      </c>
      <c r="M14">
        <v>1022</v>
      </c>
      <c r="N14">
        <v>1017.1</v>
      </c>
      <c r="O14">
        <v>0</v>
      </c>
      <c r="P14">
        <v>27.1</v>
      </c>
      <c r="Q14" t="s">
        <v>19</v>
      </c>
      <c r="S14">
        <v>28</v>
      </c>
      <c r="T14">
        <v>31.968734726291562</v>
      </c>
      <c r="U14">
        <v>5.65</v>
      </c>
      <c r="W14">
        <f t="shared" si="0"/>
        <v>7</v>
      </c>
      <c r="X14">
        <f t="shared" si="1"/>
        <v>26</v>
      </c>
      <c r="Y14">
        <f t="shared" si="2"/>
        <v>26</v>
      </c>
      <c r="Z14">
        <f t="shared" si="3"/>
        <v>29</v>
      </c>
      <c r="AA14">
        <f t="shared" si="4"/>
        <v>270</v>
      </c>
      <c r="AB14">
        <f t="shared" si="5"/>
        <v>63</v>
      </c>
      <c r="AC14" t="str">
        <f t="shared" si="6"/>
        <v>N</v>
      </c>
      <c r="AD14" t="str">
        <f t="shared" si="7"/>
        <v>W</v>
      </c>
      <c r="AE14">
        <f t="shared" si="8"/>
        <v>1</v>
      </c>
      <c r="AF14">
        <f ca="1">MONTH(TODAY())</f>
        <v>6</v>
      </c>
      <c r="AI14" t="s">
        <v>60</v>
      </c>
      <c r="AK14" t="str">
        <f>SUBSTITUTE(T15,"895","598")</f>
        <v>31.5981406957235</v>
      </c>
      <c r="AM14">
        <f>ROUND(T6,2)</f>
        <v>31.91</v>
      </c>
    </row>
    <row r="15" spans="1:39" x14ac:dyDescent="0.25">
      <c r="A15">
        <v>12.1</v>
      </c>
      <c r="B15">
        <v>30.9</v>
      </c>
      <c r="C15">
        <v>0</v>
      </c>
      <c r="D15">
        <v>6.2</v>
      </c>
      <c r="E15">
        <v>12.4</v>
      </c>
      <c r="F15">
        <v>44</v>
      </c>
      <c r="G15" t="s">
        <v>26</v>
      </c>
      <c r="H15" t="s">
        <v>23</v>
      </c>
      <c r="I15">
        <v>7</v>
      </c>
      <c r="J15">
        <v>20</v>
      </c>
      <c r="K15">
        <v>67</v>
      </c>
      <c r="L15">
        <v>20</v>
      </c>
      <c r="M15">
        <v>1017.3</v>
      </c>
      <c r="N15">
        <v>1013.1</v>
      </c>
      <c r="O15">
        <v>1</v>
      </c>
      <c r="P15">
        <v>30.7</v>
      </c>
      <c r="Q15" t="s">
        <v>19</v>
      </c>
      <c r="S15">
        <v>31</v>
      </c>
      <c r="T15">
        <v>31.895140695723541</v>
      </c>
      <c r="U15">
        <v>5.65</v>
      </c>
      <c r="W15">
        <f t="shared" si="0"/>
        <v>20</v>
      </c>
      <c r="X15">
        <f t="shared" si="1"/>
        <v>28.5</v>
      </c>
      <c r="Y15">
        <f t="shared" si="2"/>
        <v>39.4</v>
      </c>
      <c r="Z15">
        <f t="shared" si="3"/>
        <v>20</v>
      </c>
      <c r="AA15">
        <f t="shared" si="4"/>
        <v>107</v>
      </c>
      <c r="AB15">
        <f t="shared" si="5"/>
        <v>232</v>
      </c>
      <c r="AC15" t="str">
        <f t="shared" si="6"/>
        <v>N</v>
      </c>
      <c r="AD15" t="str">
        <f t="shared" si="7"/>
        <v>W</v>
      </c>
      <c r="AE15">
        <f t="shared" si="8"/>
        <v>3</v>
      </c>
      <c r="AF15" s="6" t="s">
        <v>55</v>
      </c>
      <c r="AI15" t="str">
        <f>SUBSTITUTE("ABC-2005-1","2005","2004")</f>
        <v>ABC-2004-1</v>
      </c>
    </row>
    <row r="16" spans="1:39" x14ac:dyDescent="0.25">
      <c r="A16">
        <v>10.1</v>
      </c>
      <c r="B16">
        <v>31.2</v>
      </c>
      <c r="C16">
        <v>0</v>
      </c>
      <c r="D16">
        <v>8.8000000000000007</v>
      </c>
      <c r="E16">
        <v>13.1</v>
      </c>
      <c r="F16">
        <v>41</v>
      </c>
      <c r="G16" t="s">
        <v>30</v>
      </c>
      <c r="H16" t="s">
        <v>23</v>
      </c>
      <c r="I16">
        <v>6</v>
      </c>
      <c r="J16">
        <v>20</v>
      </c>
      <c r="K16">
        <v>45</v>
      </c>
      <c r="L16">
        <v>16</v>
      </c>
      <c r="M16">
        <v>1018.2</v>
      </c>
      <c r="N16">
        <v>1013.7</v>
      </c>
      <c r="O16">
        <v>0</v>
      </c>
      <c r="P16">
        <v>30.4</v>
      </c>
      <c r="Q16" t="s">
        <v>19</v>
      </c>
      <c r="S16">
        <v>31</v>
      </c>
      <c r="T16">
        <v>31.909246308867907</v>
      </c>
      <c r="U16">
        <v>5.65</v>
      </c>
      <c r="W16">
        <f t="shared" si="0"/>
        <v>20</v>
      </c>
      <c r="X16">
        <f t="shared" si="1"/>
        <v>21.75</v>
      </c>
      <c r="Y16">
        <f t="shared" si="2"/>
        <v>39.1</v>
      </c>
      <c r="Z16">
        <f t="shared" si="3"/>
        <v>16</v>
      </c>
      <c r="AA16">
        <f t="shared" si="4"/>
        <v>137</v>
      </c>
      <c r="AB16">
        <f t="shared" si="5"/>
        <v>185</v>
      </c>
      <c r="AC16" t="str">
        <f t="shared" si="6"/>
        <v>N</v>
      </c>
      <c r="AD16" t="str">
        <f t="shared" si="7"/>
        <v>W</v>
      </c>
      <c r="AE16">
        <f t="shared" si="8"/>
        <v>1</v>
      </c>
      <c r="AF16">
        <f ca="1">DAY(TODAY()+100)</f>
        <v>10</v>
      </c>
    </row>
    <row r="17" spans="1:39" x14ac:dyDescent="0.25">
      <c r="A17">
        <v>12.4</v>
      </c>
      <c r="B17">
        <v>32.1</v>
      </c>
      <c r="C17">
        <v>0</v>
      </c>
      <c r="D17">
        <v>8.4</v>
      </c>
      <c r="E17">
        <v>11.1</v>
      </c>
      <c r="F17">
        <v>46</v>
      </c>
      <c r="G17" t="s">
        <v>29</v>
      </c>
      <c r="H17" t="s">
        <v>31</v>
      </c>
      <c r="I17">
        <v>7</v>
      </c>
      <c r="J17">
        <v>9</v>
      </c>
      <c r="K17">
        <v>70</v>
      </c>
      <c r="L17">
        <v>22</v>
      </c>
      <c r="M17">
        <v>1017.9</v>
      </c>
      <c r="N17">
        <v>1012.8</v>
      </c>
      <c r="O17">
        <v>0</v>
      </c>
      <c r="P17">
        <v>30.7</v>
      </c>
      <c r="Q17" t="s">
        <v>19</v>
      </c>
      <c r="S17">
        <v>32</v>
      </c>
      <c r="T17">
        <v>31.904545130749003</v>
      </c>
      <c r="U17">
        <v>5.65</v>
      </c>
      <c r="W17">
        <f t="shared" si="0"/>
        <v>9</v>
      </c>
      <c r="X17">
        <f t="shared" si="1"/>
        <v>27</v>
      </c>
      <c r="Y17">
        <f t="shared" si="2"/>
        <v>27.1</v>
      </c>
      <c r="Z17">
        <f t="shared" si="3"/>
        <v>22</v>
      </c>
      <c r="AA17">
        <f t="shared" si="4"/>
        <v>84</v>
      </c>
      <c r="AB17">
        <f t="shared" si="5"/>
        <v>244</v>
      </c>
      <c r="AC17" t="str">
        <f t="shared" si="6"/>
        <v>N</v>
      </c>
      <c r="AD17" t="str">
        <f t="shared" si="7"/>
        <v>W</v>
      </c>
      <c r="AE17">
        <f t="shared" si="8"/>
        <v>2</v>
      </c>
      <c r="AF17">
        <f ca="1">MONTH(TODAY()+100)</f>
        <v>9</v>
      </c>
      <c r="AI17" s="3" t="s">
        <v>62</v>
      </c>
      <c r="AK17" s="3" t="s">
        <v>62</v>
      </c>
      <c r="AM17" s="7" t="s">
        <v>69</v>
      </c>
    </row>
    <row r="18" spans="1:39" x14ac:dyDescent="0.25">
      <c r="A18">
        <v>13.8</v>
      </c>
      <c r="B18">
        <v>31.2</v>
      </c>
      <c r="C18">
        <v>0</v>
      </c>
      <c r="D18">
        <v>7.2</v>
      </c>
      <c r="E18">
        <v>8.4</v>
      </c>
      <c r="F18">
        <v>44</v>
      </c>
      <c r="G18" t="s">
        <v>31</v>
      </c>
      <c r="H18" t="s">
        <v>23</v>
      </c>
      <c r="I18">
        <v>6</v>
      </c>
      <c r="J18">
        <v>19</v>
      </c>
      <c r="K18">
        <v>72</v>
      </c>
      <c r="L18">
        <v>23</v>
      </c>
      <c r="M18">
        <v>1014.4</v>
      </c>
      <c r="N18">
        <v>1009.8</v>
      </c>
      <c r="O18">
        <v>7</v>
      </c>
      <c r="P18">
        <v>29.8</v>
      </c>
      <c r="Q18" t="s">
        <v>19</v>
      </c>
      <c r="S18">
        <v>31</v>
      </c>
      <c r="T18">
        <v>31.849646779831012</v>
      </c>
      <c r="U18">
        <v>5.64</v>
      </c>
      <c r="W18">
        <f t="shared" si="0"/>
        <v>19</v>
      </c>
      <c r="X18">
        <f t="shared" si="1"/>
        <v>30</v>
      </c>
      <c r="Y18">
        <f t="shared" si="2"/>
        <v>33.4</v>
      </c>
      <c r="Z18">
        <f t="shared" si="3"/>
        <v>23</v>
      </c>
      <c r="AA18">
        <f t="shared" si="4"/>
        <v>106</v>
      </c>
      <c r="AB18">
        <f t="shared" si="5"/>
        <v>231</v>
      </c>
      <c r="AC18" t="str">
        <f t="shared" si="6"/>
        <v>N</v>
      </c>
      <c r="AD18" t="str">
        <f t="shared" si="7"/>
        <v>W</v>
      </c>
      <c r="AE18">
        <f t="shared" si="8"/>
        <v>3</v>
      </c>
      <c r="AF18">
        <f ca="1">DAY(TODAY()+99)</f>
        <v>9</v>
      </c>
      <c r="AI18" t="s">
        <v>60</v>
      </c>
      <c r="AK18" t="str">
        <f>MID(N18,2,2)</f>
        <v>00</v>
      </c>
      <c r="AM18">
        <f>MOD(Z6,7)</f>
        <v>0</v>
      </c>
    </row>
    <row r="19" spans="1:39" x14ac:dyDescent="0.25">
      <c r="A19">
        <v>11.7</v>
      </c>
      <c r="B19">
        <v>30</v>
      </c>
      <c r="C19">
        <v>1.2</v>
      </c>
      <c r="D19">
        <v>7.2</v>
      </c>
      <c r="E19">
        <v>10.1</v>
      </c>
      <c r="F19">
        <v>52</v>
      </c>
      <c r="G19" t="s">
        <v>18</v>
      </c>
      <c r="H19" t="s">
        <v>32</v>
      </c>
      <c r="I19">
        <v>6</v>
      </c>
      <c r="J19">
        <v>11</v>
      </c>
      <c r="K19">
        <v>59</v>
      </c>
      <c r="L19">
        <v>26</v>
      </c>
      <c r="M19">
        <v>1016.4</v>
      </c>
      <c r="N19">
        <v>1013</v>
      </c>
      <c r="O19">
        <v>1</v>
      </c>
      <c r="P19">
        <v>28.6</v>
      </c>
      <c r="Q19" t="s">
        <v>20</v>
      </c>
      <c r="S19">
        <v>30</v>
      </c>
      <c r="T19">
        <v>31.881028841616764</v>
      </c>
      <c r="U19">
        <v>5.65</v>
      </c>
      <c r="W19">
        <f t="shared" si="0"/>
        <v>11</v>
      </c>
      <c r="X19">
        <f t="shared" si="1"/>
        <v>25.5</v>
      </c>
      <c r="Y19">
        <f t="shared" si="2"/>
        <v>27.1</v>
      </c>
      <c r="Z19">
        <f t="shared" si="3"/>
        <v>26</v>
      </c>
      <c r="AA19">
        <f t="shared" si="4"/>
        <v>42</v>
      </c>
      <c r="AB19">
        <f t="shared" si="5"/>
        <v>297</v>
      </c>
      <c r="AC19" t="str">
        <f t="shared" si="6"/>
        <v>Y</v>
      </c>
      <c r="AD19" t="str">
        <f t="shared" si="7"/>
        <v>E</v>
      </c>
      <c r="AE19">
        <f t="shared" si="8"/>
        <v>2</v>
      </c>
      <c r="AF19" s="6" t="s">
        <v>56</v>
      </c>
      <c r="AI19" t="str">
        <f>MID("ABC-2005-001",5,4)</f>
        <v>2005</v>
      </c>
      <c r="AK19" t="str">
        <f>MID(Q24,2,1)</f>
        <v>e</v>
      </c>
    </row>
    <row r="20" spans="1:39" x14ac:dyDescent="0.25">
      <c r="A20">
        <v>12.4</v>
      </c>
      <c r="B20">
        <v>32.299999999999997</v>
      </c>
      <c r="C20">
        <v>0.6</v>
      </c>
      <c r="D20">
        <v>7.4</v>
      </c>
      <c r="E20">
        <v>13</v>
      </c>
      <c r="F20">
        <v>39</v>
      </c>
      <c r="G20" t="s">
        <v>25</v>
      </c>
      <c r="H20" t="s">
        <v>23</v>
      </c>
      <c r="I20">
        <v>4</v>
      </c>
      <c r="J20">
        <v>17</v>
      </c>
      <c r="K20">
        <v>60</v>
      </c>
      <c r="L20">
        <v>25</v>
      </c>
      <c r="M20">
        <v>1017.1</v>
      </c>
      <c r="N20">
        <v>1013.3</v>
      </c>
      <c r="O20">
        <v>1</v>
      </c>
      <c r="P20">
        <v>31.2</v>
      </c>
      <c r="Q20" t="s">
        <v>19</v>
      </c>
      <c r="S20">
        <v>32</v>
      </c>
      <c r="T20">
        <v>31.89200526777832</v>
      </c>
      <c r="U20">
        <v>5.65</v>
      </c>
      <c r="W20">
        <f t="shared" si="0"/>
        <v>17</v>
      </c>
      <c r="X20">
        <f t="shared" si="1"/>
        <v>26.5</v>
      </c>
      <c r="Y20">
        <f t="shared" si="2"/>
        <v>34</v>
      </c>
      <c r="Z20">
        <f t="shared" si="3"/>
        <v>25</v>
      </c>
      <c r="AA20">
        <f t="shared" si="4"/>
        <v>163</v>
      </c>
      <c r="AB20">
        <f t="shared" si="5"/>
        <v>155</v>
      </c>
      <c r="AC20" t="str">
        <f t="shared" si="6"/>
        <v>N</v>
      </c>
      <c r="AD20" t="str">
        <f t="shared" si="7"/>
        <v>W</v>
      </c>
      <c r="AE20">
        <f t="shared" si="8"/>
        <v>3</v>
      </c>
      <c r="AF20" s="1">
        <f>DATE(2006,5,21)</f>
        <v>38858</v>
      </c>
      <c r="AM20" s="8" t="s">
        <v>70</v>
      </c>
    </row>
    <row r="21" spans="1:39" x14ac:dyDescent="0.25">
      <c r="A21">
        <v>15.6</v>
      </c>
      <c r="B21">
        <v>33.4</v>
      </c>
      <c r="C21">
        <v>0</v>
      </c>
      <c r="D21">
        <v>8</v>
      </c>
      <c r="E21">
        <v>10.4</v>
      </c>
      <c r="F21">
        <v>33</v>
      </c>
      <c r="G21" t="s">
        <v>33</v>
      </c>
      <c r="H21" t="s">
        <v>33</v>
      </c>
      <c r="I21">
        <v>2</v>
      </c>
      <c r="J21">
        <v>13</v>
      </c>
      <c r="K21">
        <v>61</v>
      </c>
      <c r="L21">
        <v>27</v>
      </c>
      <c r="M21">
        <v>1018.5</v>
      </c>
      <c r="N21">
        <v>1013.7</v>
      </c>
      <c r="O21">
        <v>0</v>
      </c>
      <c r="P21">
        <v>32</v>
      </c>
      <c r="Q21" t="s">
        <v>19</v>
      </c>
      <c r="S21">
        <v>33</v>
      </c>
      <c r="T21">
        <v>31.913946794465897</v>
      </c>
      <c r="U21">
        <v>5.65</v>
      </c>
      <c r="W21">
        <f t="shared" si="0"/>
        <v>13</v>
      </c>
      <c r="X21">
        <f t="shared" si="1"/>
        <v>25.75</v>
      </c>
      <c r="Y21">
        <f t="shared" si="2"/>
        <v>25.4</v>
      </c>
      <c r="Z21">
        <f t="shared" si="3"/>
        <v>27</v>
      </c>
      <c r="AA21">
        <f t="shared" si="4"/>
        <v>216</v>
      </c>
      <c r="AB21">
        <f t="shared" si="5"/>
        <v>112</v>
      </c>
      <c r="AC21" t="str">
        <f t="shared" si="6"/>
        <v>N</v>
      </c>
      <c r="AD21" t="str">
        <f t="shared" si="7"/>
        <v>W</v>
      </c>
      <c r="AE21">
        <f t="shared" si="8"/>
        <v>3</v>
      </c>
      <c r="AI21" s="4" t="s">
        <v>63</v>
      </c>
      <c r="AK21" s="4" t="s">
        <v>63</v>
      </c>
      <c r="AM21">
        <f>ROUNDUP(X6,1)</f>
        <v>41.300000000000004</v>
      </c>
    </row>
    <row r="22" spans="1:39" x14ac:dyDescent="0.25">
      <c r="A22">
        <v>15.3</v>
      </c>
      <c r="B22">
        <v>33.4</v>
      </c>
      <c r="C22">
        <v>0</v>
      </c>
      <c r="D22">
        <v>8.8000000000000007</v>
      </c>
      <c r="E22">
        <v>9.5</v>
      </c>
      <c r="F22">
        <v>59</v>
      </c>
      <c r="G22" t="s">
        <v>24</v>
      </c>
      <c r="H22" t="s">
        <v>17</v>
      </c>
      <c r="I22">
        <v>2</v>
      </c>
      <c r="J22">
        <v>31</v>
      </c>
      <c r="K22">
        <v>60</v>
      </c>
      <c r="L22">
        <v>26</v>
      </c>
      <c r="M22">
        <v>1012.4</v>
      </c>
      <c r="N22">
        <v>1006.5</v>
      </c>
      <c r="O22">
        <v>1</v>
      </c>
      <c r="P22">
        <v>32.799999999999997</v>
      </c>
      <c r="Q22" t="s">
        <v>19</v>
      </c>
      <c r="S22">
        <v>33</v>
      </c>
      <c r="T22">
        <v>31.818233766191359</v>
      </c>
      <c r="U22">
        <v>5.64</v>
      </c>
      <c r="W22">
        <f t="shared" si="0"/>
        <v>31</v>
      </c>
      <c r="X22">
        <f t="shared" si="1"/>
        <v>29.75</v>
      </c>
      <c r="Y22">
        <f t="shared" si="2"/>
        <v>42.5</v>
      </c>
      <c r="Z22">
        <f t="shared" si="3"/>
        <v>26</v>
      </c>
      <c r="AA22">
        <f t="shared" si="4"/>
        <v>24</v>
      </c>
      <c r="AB22">
        <f t="shared" si="5"/>
        <v>313</v>
      </c>
      <c r="AC22" t="str">
        <f t="shared" si="6"/>
        <v>N</v>
      </c>
      <c r="AD22" t="str">
        <f t="shared" si="7"/>
        <v>W</v>
      </c>
      <c r="AE22">
        <f t="shared" si="8"/>
        <v>1</v>
      </c>
      <c r="AI22" t="s">
        <v>60</v>
      </c>
      <c r="AK22">
        <f>SEARCH("03",T9)</f>
        <v>4</v>
      </c>
    </row>
    <row r="23" spans="1:39" x14ac:dyDescent="0.25">
      <c r="A23">
        <v>16.399999999999999</v>
      </c>
      <c r="B23">
        <v>19.399999999999999</v>
      </c>
      <c r="C23">
        <v>0.4</v>
      </c>
      <c r="D23">
        <v>9.1999999999999993</v>
      </c>
      <c r="E23">
        <v>0</v>
      </c>
      <c r="F23">
        <v>26</v>
      </c>
      <c r="G23" t="s">
        <v>21</v>
      </c>
      <c r="H23" t="s">
        <v>22</v>
      </c>
      <c r="I23">
        <v>6</v>
      </c>
      <c r="J23">
        <v>11</v>
      </c>
      <c r="K23">
        <v>88</v>
      </c>
      <c r="L23">
        <v>72</v>
      </c>
      <c r="M23">
        <v>1010.7</v>
      </c>
      <c r="N23">
        <v>1008.9</v>
      </c>
      <c r="O23">
        <v>8</v>
      </c>
      <c r="P23">
        <v>18.3</v>
      </c>
      <c r="Q23" t="s">
        <v>19</v>
      </c>
      <c r="S23">
        <v>19</v>
      </c>
      <c r="T23">
        <v>31.791508300173493</v>
      </c>
      <c r="U23">
        <v>5.64</v>
      </c>
      <c r="W23">
        <f t="shared" si="0"/>
        <v>11</v>
      </c>
      <c r="X23">
        <f t="shared" si="1"/>
        <v>44.25</v>
      </c>
      <c r="Y23">
        <f t="shared" si="2"/>
        <v>17</v>
      </c>
      <c r="Z23">
        <f t="shared" si="3"/>
        <v>72</v>
      </c>
      <c r="AA23">
        <f t="shared" si="4"/>
        <v>297</v>
      </c>
      <c r="AB23">
        <f t="shared" si="5"/>
        <v>38</v>
      </c>
      <c r="AC23" t="str">
        <f t="shared" si="6"/>
        <v>N</v>
      </c>
      <c r="AD23" t="str">
        <f t="shared" si="7"/>
        <v>E</v>
      </c>
      <c r="AE23">
        <f t="shared" si="8"/>
        <v>3</v>
      </c>
      <c r="AI23">
        <f>SEARCH("2005","ABC-2005-001")</f>
        <v>5</v>
      </c>
      <c r="AM23" s="2" t="s">
        <v>71</v>
      </c>
    </row>
    <row r="24" spans="1:39" x14ac:dyDescent="0.25">
      <c r="A24">
        <v>12.8</v>
      </c>
      <c r="B24">
        <v>18.5</v>
      </c>
      <c r="C24">
        <v>25.8</v>
      </c>
      <c r="D24">
        <v>2.8</v>
      </c>
      <c r="E24">
        <v>0.6</v>
      </c>
      <c r="F24">
        <v>28</v>
      </c>
      <c r="G24" t="s">
        <v>30</v>
      </c>
      <c r="H24" t="s">
        <v>29</v>
      </c>
      <c r="I24">
        <v>13</v>
      </c>
      <c r="J24">
        <v>13</v>
      </c>
      <c r="K24">
        <v>91</v>
      </c>
      <c r="L24">
        <v>79</v>
      </c>
      <c r="M24">
        <v>1014</v>
      </c>
      <c r="N24">
        <v>1014.9</v>
      </c>
      <c r="O24">
        <v>8</v>
      </c>
      <c r="P24">
        <v>16.8</v>
      </c>
      <c r="Q24" t="s">
        <v>20</v>
      </c>
      <c r="S24">
        <v>19</v>
      </c>
      <c r="T24">
        <v>31.843366656181317</v>
      </c>
      <c r="U24">
        <v>5.64</v>
      </c>
      <c r="W24">
        <f t="shared" si="0"/>
        <v>13</v>
      </c>
      <c r="X24">
        <f t="shared" si="1"/>
        <v>49</v>
      </c>
      <c r="Y24">
        <f t="shared" si="2"/>
        <v>26.6</v>
      </c>
      <c r="Z24">
        <f t="shared" si="3"/>
        <v>79</v>
      </c>
      <c r="AA24">
        <f t="shared" si="4"/>
        <v>282</v>
      </c>
      <c r="AB24">
        <f t="shared" si="5"/>
        <v>47</v>
      </c>
      <c r="AC24" t="str">
        <f t="shared" si="6"/>
        <v>Y</v>
      </c>
      <c r="AD24" t="str">
        <f t="shared" si="7"/>
        <v>E</v>
      </c>
      <c r="AE24">
        <f t="shared" si="8"/>
        <v>1</v>
      </c>
      <c r="AM24">
        <f>ROUNDDOWN(X6,1)</f>
        <v>41.2</v>
      </c>
    </row>
    <row r="25" spans="1:39" x14ac:dyDescent="0.25">
      <c r="A25">
        <v>12</v>
      </c>
      <c r="B25">
        <v>24.3</v>
      </c>
      <c r="C25">
        <v>0.4</v>
      </c>
      <c r="D25">
        <v>1.2</v>
      </c>
      <c r="E25">
        <v>7.5</v>
      </c>
      <c r="F25">
        <v>26</v>
      </c>
      <c r="G25" t="s">
        <v>31</v>
      </c>
      <c r="H25" t="s">
        <v>32</v>
      </c>
      <c r="I25">
        <v>6</v>
      </c>
      <c r="J25">
        <v>9</v>
      </c>
      <c r="K25">
        <v>74</v>
      </c>
      <c r="L25">
        <v>57</v>
      </c>
      <c r="M25">
        <v>1020.7</v>
      </c>
      <c r="N25">
        <v>1019.2</v>
      </c>
      <c r="O25">
        <v>7</v>
      </c>
      <c r="P25">
        <v>22.8</v>
      </c>
      <c r="Q25" t="s">
        <v>19</v>
      </c>
      <c r="S25">
        <v>24</v>
      </c>
      <c r="T25">
        <v>31.948395890873769</v>
      </c>
      <c r="U25">
        <v>5.65</v>
      </c>
      <c r="W25">
        <f t="shared" si="0"/>
        <v>9</v>
      </c>
      <c r="X25">
        <f t="shared" si="1"/>
        <v>36.5</v>
      </c>
      <c r="Y25">
        <f t="shared" si="2"/>
        <v>22.5</v>
      </c>
      <c r="Z25">
        <f t="shared" si="3"/>
        <v>57</v>
      </c>
      <c r="AA25">
        <f t="shared" si="4"/>
        <v>296</v>
      </c>
      <c r="AB25">
        <f t="shared" si="5"/>
        <v>38</v>
      </c>
      <c r="AC25" t="str">
        <f t="shared" si="6"/>
        <v>N</v>
      </c>
      <c r="AD25" t="str">
        <f t="shared" si="7"/>
        <v>E</v>
      </c>
      <c r="AE25">
        <f t="shared" si="8"/>
        <v>3</v>
      </c>
      <c r="AI25" s="5" t="s">
        <v>64</v>
      </c>
      <c r="AK25" s="5" t="s">
        <v>64</v>
      </c>
    </row>
    <row r="26" spans="1:39" x14ac:dyDescent="0.25">
      <c r="A26">
        <v>15.4</v>
      </c>
      <c r="B26">
        <v>28.4</v>
      </c>
      <c r="C26">
        <v>0</v>
      </c>
      <c r="D26">
        <v>4.4000000000000004</v>
      </c>
      <c r="E26">
        <v>8.1</v>
      </c>
      <c r="F26">
        <v>33</v>
      </c>
      <c r="G26" t="s">
        <v>27</v>
      </c>
      <c r="H26" t="s">
        <v>32</v>
      </c>
      <c r="I26">
        <v>9</v>
      </c>
      <c r="J26">
        <v>15</v>
      </c>
      <c r="K26">
        <v>85</v>
      </c>
      <c r="L26">
        <v>31</v>
      </c>
      <c r="M26">
        <v>1022.4</v>
      </c>
      <c r="N26">
        <v>1018.6</v>
      </c>
      <c r="O26">
        <v>8</v>
      </c>
      <c r="P26">
        <v>27.3</v>
      </c>
      <c r="Q26" t="s">
        <v>19</v>
      </c>
      <c r="S26">
        <v>28</v>
      </c>
      <c r="T26">
        <v>31.974990226738147</v>
      </c>
      <c r="U26">
        <v>5.65</v>
      </c>
      <c r="W26">
        <f t="shared" si="0"/>
        <v>15</v>
      </c>
      <c r="X26">
        <f t="shared" si="1"/>
        <v>35</v>
      </c>
      <c r="Y26">
        <f t="shared" si="2"/>
        <v>32.1</v>
      </c>
      <c r="Z26">
        <f t="shared" si="3"/>
        <v>31</v>
      </c>
      <c r="AA26">
        <f t="shared" si="4"/>
        <v>215</v>
      </c>
      <c r="AB26">
        <f t="shared" si="5"/>
        <v>109</v>
      </c>
      <c r="AC26" t="str">
        <f t="shared" si="6"/>
        <v>N</v>
      </c>
      <c r="AD26" t="str">
        <f t="shared" si="7"/>
        <v>E</v>
      </c>
      <c r="AE26">
        <f t="shared" si="8"/>
        <v>3</v>
      </c>
      <c r="AH26" t="s">
        <v>65</v>
      </c>
      <c r="AI26" t="s">
        <v>66</v>
      </c>
      <c r="AK26" t="str">
        <f>_xlfn.CONCAT(Q2,Q24)</f>
        <v>NoYes</v>
      </c>
    </row>
    <row r="27" spans="1:39" x14ac:dyDescent="0.25">
      <c r="A27">
        <v>15.6</v>
      </c>
      <c r="B27">
        <v>26.9</v>
      </c>
      <c r="C27">
        <v>0</v>
      </c>
      <c r="D27">
        <v>6.8</v>
      </c>
      <c r="E27">
        <v>8.9</v>
      </c>
      <c r="F27">
        <v>41</v>
      </c>
      <c r="G27" t="s">
        <v>22</v>
      </c>
      <c r="H27" t="s">
        <v>22</v>
      </c>
      <c r="I27">
        <v>6</v>
      </c>
      <c r="J27">
        <v>22</v>
      </c>
      <c r="K27">
        <v>65</v>
      </c>
      <c r="L27">
        <v>48</v>
      </c>
      <c r="M27">
        <v>1019.7</v>
      </c>
      <c r="N27">
        <v>1016.5</v>
      </c>
      <c r="O27">
        <v>2</v>
      </c>
      <c r="P27">
        <v>25.1</v>
      </c>
      <c r="Q27" t="s">
        <v>19</v>
      </c>
      <c r="S27">
        <v>27</v>
      </c>
      <c r="T27">
        <v>31.932741817764413</v>
      </c>
      <c r="U27">
        <v>5.65</v>
      </c>
      <c r="W27">
        <f t="shared" si="0"/>
        <v>22</v>
      </c>
      <c r="X27">
        <f t="shared" si="1"/>
        <v>35.25</v>
      </c>
      <c r="Y27">
        <f t="shared" si="2"/>
        <v>36.9</v>
      </c>
      <c r="Z27">
        <f t="shared" si="3"/>
        <v>48</v>
      </c>
      <c r="AA27">
        <f t="shared" si="4"/>
        <v>133</v>
      </c>
      <c r="AB27">
        <f t="shared" si="5"/>
        <v>179</v>
      </c>
      <c r="AC27" t="str">
        <f t="shared" si="6"/>
        <v>N</v>
      </c>
      <c r="AD27" t="str">
        <f t="shared" si="7"/>
        <v>E</v>
      </c>
      <c r="AE27">
        <f t="shared" si="8"/>
        <v>1</v>
      </c>
      <c r="AI27" t="str">
        <f>_xlfn.CONCAT(AH26,AI26)</f>
        <v>VICKYDON</v>
      </c>
    </row>
    <row r="28" spans="1:39" x14ac:dyDescent="0.25">
      <c r="A28">
        <v>13.3</v>
      </c>
      <c r="B28">
        <v>22.2</v>
      </c>
      <c r="C28">
        <v>0.2</v>
      </c>
      <c r="D28">
        <v>6.6</v>
      </c>
      <c r="E28">
        <v>2.2999999999999998</v>
      </c>
      <c r="F28">
        <v>39</v>
      </c>
      <c r="G28" t="s">
        <v>22</v>
      </c>
      <c r="H28" t="s">
        <v>22</v>
      </c>
      <c r="I28">
        <v>20</v>
      </c>
      <c r="J28">
        <v>17</v>
      </c>
      <c r="K28">
        <v>70</v>
      </c>
      <c r="L28">
        <v>55</v>
      </c>
      <c r="M28">
        <v>1021</v>
      </c>
      <c r="N28">
        <v>1018.6</v>
      </c>
      <c r="O28">
        <v>7</v>
      </c>
      <c r="P28">
        <v>21.2</v>
      </c>
      <c r="Q28" t="s">
        <v>19</v>
      </c>
      <c r="S28">
        <v>22</v>
      </c>
      <c r="T28">
        <v>31.953090617340916</v>
      </c>
      <c r="U28">
        <v>5.65</v>
      </c>
      <c r="W28">
        <f t="shared" si="0"/>
        <v>20</v>
      </c>
      <c r="X28">
        <f t="shared" si="1"/>
        <v>40.5</v>
      </c>
      <c r="Y28">
        <f t="shared" si="2"/>
        <v>39.299999999999997</v>
      </c>
      <c r="Z28">
        <f t="shared" si="3"/>
        <v>55</v>
      </c>
      <c r="AA28">
        <f t="shared" si="4"/>
        <v>161</v>
      </c>
      <c r="AB28">
        <f t="shared" si="5"/>
        <v>150</v>
      </c>
      <c r="AC28" t="str">
        <f t="shared" si="6"/>
        <v>N</v>
      </c>
      <c r="AD28" t="str">
        <f t="shared" si="7"/>
        <v>E</v>
      </c>
      <c r="AE28">
        <f t="shared" si="8"/>
        <v>1</v>
      </c>
    </row>
    <row r="29" spans="1:39" x14ac:dyDescent="0.25">
      <c r="A29">
        <v>12.9</v>
      </c>
      <c r="B29">
        <v>28</v>
      </c>
      <c r="C29">
        <v>0</v>
      </c>
      <c r="D29">
        <v>4.4000000000000004</v>
      </c>
      <c r="E29">
        <v>10.7</v>
      </c>
      <c r="F29">
        <v>52</v>
      </c>
      <c r="G29" t="s">
        <v>30</v>
      </c>
      <c r="H29" t="s">
        <v>25</v>
      </c>
      <c r="I29">
        <v>6</v>
      </c>
      <c r="J29">
        <v>11</v>
      </c>
      <c r="K29">
        <v>61</v>
      </c>
      <c r="L29">
        <v>31</v>
      </c>
      <c r="M29">
        <v>1019.2</v>
      </c>
      <c r="N29">
        <v>1014.8</v>
      </c>
      <c r="O29">
        <v>5</v>
      </c>
      <c r="P29">
        <v>26.7</v>
      </c>
      <c r="Q29" t="s">
        <v>19</v>
      </c>
      <c r="S29">
        <v>28</v>
      </c>
      <c r="T29">
        <v>31.924911902775865</v>
      </c>
      <c r="U29">
        <v>5.65</v>
      </c>
      <c r="W29">
        <f t="shared" si="0"/>
        <v>11</v>
      </c>
      <c r="X29">
        <f t="shared" si="1"/>
        <v>27.25</v>
      </c>
      <c r="Y29">
        <f t="shared" si="2"/>
        <v>27.7</v>
      </c>
      <c r="Z29">
        <f t="shared" si="3"/>
        <v>31</v>
      </c>
      <c r="AA29">
        <f t="shared" si="4"/>
        <v>41</v>
      </c>
      <c r="AB29">
        <f t="shared" si="5"/>
        <v>289</v>
      </c>
      <c r="AC29" t="str">
        <f t="shared" si="6"/>
        <v>N</v>
      </c>
      <c r="AD29" t="str">
        <f t="shared" si="7"/>
        <v>E</v>
      </c>
      <c r="AE29">
        <f t="shared" si="8"/>
        <v>1</v>
      </c>
    </row>
    <row r="30" spans="1:39" x14ac:dyDescent="0.25">
      <c r="A30">
        <v>15.1</v>
      </c>
      <c r="B30">
        <v>24.3</v>
      </c>
      <c r="C30">
        <v>0</v>
      </c>
      <c r="D30">
        <v>7</v>
      </c>
      <c r="E30">
        <v>0.4</v>
      </c>
      <c r="F30">
        <v>39</v>
      </c>
      <c r="G30" t="s">
        <v>29</v>
      </c>
      <c r="H30" t="s">
        <v>29</v>
      </c>
      <c r="I30">
        <v>7</v>
      </c>
      <c r="J30">
        <v>17</v>
      </c>
      <c r="K30">
        <v>69</v>
      </c>
      <c r="L30">
        <v>80</v>
      </c>
      <c r="M30">
        <v>1019</v>
      </c>
      <c r="N30">
        <v>1017.1</v>
      </c>
      <c r="O30">
        <v>7</v>
      </c>
      <c r="P30">
        <v>19.7</v>
      </c>
      <c r="Q30" t="s">
        <v>19</v>
      </c>
      <c r="S30">
        <v>24</v>
      </c>
      <c r="T30">
        <v>31.921779399024736</v>
      </c>
      <c r="U30">
        <v>5.65</v>
      </c>
      <c r="W30">
        <f t="shared" si="0"/>
        <v>17</v>
      </c>
      <c r="X30">
        <f t="shared" si="1"/>
        <v>43.25</v>
      </c>
      <c r="Y30">
        <f t="shared" si="2"/>
        <v>24.4</v>
      </c>
      <c r="Z30">
        <f t="shared" si="3"/>
        <v>69</v>
      </c>
      <c r="AA30">
        <f t="shared" si="4"/>
        <v>160</v>
      </c>
      <c r="AB30">
        <f t="shared" si="5"/>
        <v>150</v>
      </c>
      <c r="AC30" t="str">
        <f t="shared" si="6"/>
        <v>N</v>
      </c>
      <c r="AD30" t="str">
        <f t="shared" si="7"/>
        <v>E</v>
      </c>
      <c r="AE30">
        <f t="shared" si="8"/>
        <v>2</v>
      </c>
    </row>
    <row r="31" spans="1:39" x14ac:dyDescent="0.25">
      <c r="A31">
        <v>13.6</v>
      </c>
      <c r="B31">
        <v>24.1</v>
      </c>
      <c r="C31">
        <v>0.4</v>
      </c>
      <c r="D31">
        <v>2.6</v>
      </c>
      <c r="E31">
        <v>0.5</v>
      </c>
      <c r="F31">
        <v>30</v>
      </c>
      <c r="G31" t="s">
        <v>34</v>
      </c>
      <c r="H31" t="s">
        <v>30</v>
      </c>
      <c r="I31">
        <v>6</v>
      </c>
      <c r="J31">
        <v>6</v>
      </c>
      <c r="K31">
        <v>83</v>
      </c>
      <c r="L31">
        <v>49</v>
      </c>
      <c r="M31">
        <v>1017.2</v>
      </c>
      <c r="N31">
        <v>1013.3</v>
      </c>
      <c r="O31">
        <v>8</v>
      </c>
      <c r="P31">
        <v>23.2</v>
      </c>
      <c r="Q31" t="s">
        <v>19</v>
      </c>
      <c r="S31">
        <v>24</v>
      </c>
      <c r="T31">
        <v>31.89357302028106</v>
      </c>
      <c r="U31">
        <v>5.65</v>
      </c>
      <c r="W31">
        <f t="shared" si="0"/>
        <v>6</v>
      </c>
      <c r="X31">
        <f t="shared" si="1"/>
        <v>36</v>
      </c>
      <c r="Y31">
        <f t="shared" si="2"/>
        <v>12.5</v>
      </c>
      <c r="Z31">
        <f t="shared" si="3"/>
        <v>49</v>
      </c>
      <c r="AA31">
        <f t="shared" si="4"/>
        <v>257</v>
      </c>
      <c r="AB31">
        <f t="shared" si="5"/>
        <v>60</v>
      </c>
      <c r="AC31" t="str">
        <f t="shared" si="6"/>
        <v>N</v>
      </c>
      <c r="AD31" t="str">
        <f t="shared" si="7"/>
        <v>S</v>
      </c>
      <c r="AE31">
        <f t="shared" si="8"/>
        <v>3</v>
      </c>
      <c r="AI31" s="6" t="s">
        <v>56</v>
      </c>
      <c r="AJ31" s="6" t="s">
        <v>67</v>
      </c>
      <c r="AK31" s="6" t="s">
        <v>74</v>
      </c>
      <c r="AL31" s="6" t="s">
        <v>78</v>
      </c>
      <c r="AM31" s="6" t="s">
        <v>81</v>
      </c>
    </row>
    <row r="32" spans="1:39" x14ac:dyDescent="0.25">
      <c r="A32">
        <v>15.1</v>
      </c>
      <c r="B32">
        <v>20.399999999999999</v>
      </c>
      <c r="C32">
        <v>22.6</v>
      </c>
      <c r="D32">
        <v>2.4</v>
      </c>
      <c r="E32">
        <v>0.2</v>
      </c>
      <c r="F32">
        <v>41</v>
      </c>
      <c r="G32" t="s">
        <v>22</v>
      </c>
      <c r="H32" t="s">
        <v>30</v>
      </c>
      <c r="I32">
        <v>6</v>
      </c>
      <c r="J32">
        <v>20</v>
      </c>
      <c r="K32">
        <v>82</v>
      </c>
      <c r="L32">
        <v>90</v>
      </c>
      <c r="M32">
        <v>1015</v>
      </c>
      <c r="N32">
        <v>1014.1</v>
      </c>
      <c r="O32">
        <v>8</v>
      </c>
      <c r="P32">
        <v>16.3</v>
      </c>
      <c r="Q32" t="s">
        <v>20</v>
      </c>
      <c r="S32">
        <v>20</v>
      </c>
      <c r="T32">
        <v>31.859064644147981</v>
      </c>
      <c r="U32">
        <v>5.64</v>
      </c>
      <c r="W32">
        <f t="shared" si="0"/>
        <v>20</v>
      </c>
      <c r="X32">
        <f t="shared" si="1"/>
        <v>49.5</v>
      </c>
      <c r="Y32">
        <f t="shared" si="2"/>
        <v>26.2</v>
      </c>
      <c r="Z32">
        <f t="shared" si="3"/>
        <v>82</v>
      </c>
      <c r="AA32">
        <f t="shared" si="4"/>
        <v>132</v>
      </c>
      <c r="AB32">
        <f t="shared" si="5"/>
        <v>176</v>
      </c>
      <c r="AC32" t="str">
        <f t="shared" si="6"/>
        <v>Y</v>
      </c>
      <c r="AD32" t="str">
        <f t="shared" si="7"/>
        <v>S</v>
      </c>
      <c r="AE32">
        <f t="shared" si="8"/>
        <v>1</v>
      </c>
      <c r="AI32" s="1">
        <v>46174</v>
      </c>
      <c r="AJ32" t="s">
        <v>72</v>
      </c>
      <c r="AK32" t="s">
        <v>75</v>
      </c>
      <c r="AL32" t="s">
        <v>79</v>
      </c>
      <c r="AM32">
        <v>100</v>
      </c>
    </row>
    <row r="33" spans="1:41" x14ac:dyDescent="0.25">
      <c r="A33">
        <v>11.6</v>
      </c>
      <c r="B33">
        <v>26.3</v>
      </c>
      <c r="C33">
        <v>4.2</v>
      </c>
      <c r="D33">
        <v>1.6</v>
      </c>
      <c r="E33">
        <v>12</v>
      </c>
      <c r="F33">
        <v>41</v>
      </c>
      <c r="G33" t="s">
        <v>22</v>
      </c>
      <c r="H33" t="s">
        <v>18</v>
      </c>
      <c r="I33">
        <v>6</v>
      </c>
      <c r="J33">
        <v>9</v>
      </c>
      <c r="K33">
        <v>66</v>
      </c>
      <c r="L33">
        <v>46</v>
      </c>
      <c r="M33">
        <v>1013.9</v>
      </c>
      <c r="N33">
        <v>1009.5</v>
      </c>
      <c r="O33">
        <v>2</v>
      </c>
      <c r="P33">
        <v>25.2</v>
      </c>
      <c r="Q33" t="s">
        <v>20</v>
      </c>
      <c r="S33">
        <v>26</v>
      </c>
      <c r="T33">
        <v>31.841796431734185</v>
      </c>
      <c r="U33">
        <v>5.64</v>
      </c>
      <c r="W33">
        <f t="shared" si="0"/>
        <v>9</v>
      </c>
      <c r="X33">
        <f t="shared" si="1"/>
        <v>31.75</v>
      </c>
      <c r="Y33">
        <f t="shared" si="2"/>
        <v>27</v>
      </c>
      <c r="Z33">
        <f t="shared" si="3"/>
        <v>46</v>
      </c>
      <c r="AA33">
        <f t="shared" si="4"/>
        <v>132</v>
      </c>
      <c r="AB33">
        <f t="shared" si="5"/>
        <v>176</v>
      </c>
      <c r="AC33" t="str">
        <f t="shared" si="6"/>
        <v>Y</v>
      </c>
      <c r="AD33" t="str">
        <f t="shared" si="7"/>
        <v>W</v>
      </c>
      <c r="AE33">
        <f t="shared" si="8"/>
        <v>1</v>
      </c>
      <c r="AI33" s="1">
        <v>46175</v>
      </c>
      <c r="AJ33" t="s">
        <v>73</v>
      </c>
      <c r="AK33" t="s">
        <v>76</v>
      </c>
      <c r="AL33" t="s">
        <v>80</v>
      </c>
      <c r="AM33">
        <v>50</v>
      </c>
    </row>
    <row r="34" spans="1:41" x14ac:dyDescent="0.25">
      <c r="A34">
        <v>16.600000000000001</v>
      </c>
      <c r="B34">
        <v>24.2</v>
      </c>
      <c r="C34">
        <v>0.2</v>
      </c>
      <c r="D34">
        <v>6.6</v>
      </c>
      <c r="E34">
        <v>4.7</v>
      </c>
      <c r="F34">
        <v>50</v>
      </c>
      <c r="G34" t="s">
        <v>26</v>
      </c>
      <c r="H34" t="s">
        <v>17</v>
      </c>
      <c r="I34">
        <v>13</v>
      </c>
      <c r="J34">
        <v>35</v>
      </c>
      <c r="K34">
        <v>72</v>
      </c>
      <c r="L34">
        <v>60</v>
      </c>
      <c r="M34">
        <v>1007.9</v>
      </c>
      <c r="N34">
        <v>1004.6</v>
      </c>
      <c r="O34">
        <v>7</v>
      </c>
      <c r="P34">
        <v>19.899999999999999</v>
      </c>
      <c r="Q34" t="s">
        <v>19</v>
      </c>
      <c r="S34">
        <v>24</v>
      </c>
      <c r="T34">
        <v>31.747440841743447</v>
      </c>
      <c r="U34">
        <v>5.63</v>
      </c>
      <c r="W34">
        <f t="shared" si="0"/>
        <v>35</v>
      </c>
      <c r="X34">
        <f t="shared" si="1"/>
        <v>45</v>
      </c>
      <c r="Y34">
        <f t="shared" si="2"/>
        <v>52.7</v>
      </c>
      <c r="Z34">
        <f t="shared" si="3"/>
        <v>60</v>
      </c>
      <c r="AA34">
        <f t="shared" si="4"/>
        <v>49</v>
      </c>
      <c r="AB34">
        <f t="shared" si="5"/>
        <v>270</v>
      </c>
      <c r="AC34" t="str">
        <f t="shared" si="6"/>
        <v>N</v>
      </c>
      <c r="AD34" t="str">
        <f t="shared" si="7"/>
        <v>W</v>
      </c>
      <c r="AE34">
        <f t="shared" si="8"/>
        <v>3</v>
      </c>
      <c r="AI34" s="1">
        <v>46176</v>
      </c>
      <c r="AJ34" t="s">
        <v>72</v>
      </c>
      <c r="AK34" t="s">
        <v>75</v>
      </c>
      <c r="AL34" t="s">
        <v>79</v>
      </c>
      <c r="AM34">
        <v>10</v>
      </c>
    </row>
    <row r="35" spans="1:41" x14ac:dyDescent="0.25">
      <c r="A35">
        <v>13.3</v>
      </c>
      <c r="B35">
        <v>26.5</v>
      </c>
      <c r="C35">
        <v>6.6</v>
      </c>
      <c r="D35">
        <v>3.8</v>
      </c>
      <c r="E35">
        <v>11.8</v>
      </c>
      <c r="F35">
        <v>50</v>
      </c>
      <c r="G35" t="s">
        <v>17</v>
      </c>
      <c r="H35" t="s">
        <v>26</v>
      </c>
      <c r="I35">
        <v>20</v>
      </c>
      <c r="J35">
        <v>26</v>
      </c>
      <c r="K35">
        <v>74</v>
      </c>
      <c r="L35">
        <v>40</v>
      </c>
      <c r="M35">
        <v>1007.3</v>
      </c>
      <c r="N35">
        <v>1006.3</v>
      </c>
      <c r="O35">
        <v>5</v>
      </c>
      <c r="P35">
        <v>25.1</v>
      </c>
      <c r="Q35" t="s">
        <v>20</v>
      </c>
      <c r="S35">
        <v>27</v>
      </c>
      <c r="T35">
        <v>31.73798985443155</v>
      </c>
      <c r="U35">
        <v>5.63</v>
      </c>
      <c r="W35">
        <f t="shared" si="0"/>
        <v>26</v>
      </c>
      <c r="X35">
        <f t="shared" si="1"/>
        <v>40</v>
      </c>
      <c r="Y35">
        <f t="shared" si="2"/>
        <v>57.8</v>
      </c>
      <c r="Z35">
        <f t="shared" si="3"/>
        <v>40</v>
      </c>
      <c r="AA35">
        <f t="shared" si="4"/>
        <v>49</v>
      </c>
      <c r="AB35">
        <f t="shared" si="5"/>
        <v>270</v>
      </c>
      <c r="AC35" t="str">
        <f t="shared" si="6"/>
        <v>Y</v>
      </c>
      <c r="AD35" t="str">
        <f t="shared" si="7"/>
        <v>W</v>
      </c>
      <c r="AE35">
        <f t="shared" si="8"/>
        <v>2</v>
      </c>
      <c r="AI35" s="1">
        <v>46177</v>
      </c>
      <c r="AJ35" t="s">
        <v>73</v>
      </c>
      <c r="AK35" t="s">
        <v>75</v>
      </c>
      <c r="AL35" t="s">
        <v>79</v>
      </c>
      <c r="AM35">
        <v>30</v>
      </c>
    </row>
    <row r="36" spans="1:41" x14ac:dyDescent="0.25">
      <c r="A36">
        <v>14.5</v>
      </c>
      <c r="B36">
        <v>21.8</v>
      </c>
      <c r="C36">
        <v>0</v>
      </c>
      <c r="D36">
        <v>8.4</v>
      </c>
      <c r="E36">
        <v>9.8000000000000007</v>
      </c>
      <c r="F36">
        <v>43</v>
      </c>
      <c r="G36" t="s">
        <v>28</v>
      </c>
      <c r="H36" t="s">
        <v>22</v>
      </c>
      <c r="I36">
        <v>11</v>
      </c>
      <c r="J36">
        <v>30</v>
      </c>
      <c r="K36">
        <v>69</v>
      </c>
      <c r="L36">
        <v>63</v>
      </c>
      <c r="M36">
        <v>1015</v>
      </c>
      <c r="N36">
        <v>1015.3</v>
      </c>
      <c r="O36">
        <v>7</v>
      </c>
      <c r="P36">
        <v>20.5</v>
      </c>
      <c r="Q36" t="s">
        <v>19</v>
      </c>
      <c r="S36">
        <v>22</v>
      </c>
      <c r="T36">
        <v>31.859064644147981</v>
      </c>
      <c r="U36">
        <v>5.64</v>
      </c>
      <c r="W36">
        <f t="shared" si="0"/>
        <v>30</v>
      </c>
      <c r="X36">
        <f t="shared" si="1"/>
        <v>43.25</v>
      </c>
      <c r="Y36">
        <f t="shared" si="2"/>
        <v>50.8</v>
      </c>
      <c r="Z36">
        <f t="shared" si="3"/>
        <v>63</v>
      </c>
      <c r="AA36">
        <f t="shared" si="4"/>
        <v>113</v>
      </c>
      <c r="AB36">
        <f t="shared" si="5"/>
        <v>202</v>
      </c>
      <c r="AC36" t="str">
        <f t="shared" si="6"/>
        <v>N</v>
      </c>
      <c r="AD36" t="str">
        <f t="shared" si="7"/>
        <v>E</v>
      </c>
      <c r="AE36">
        <f t="shared" si="8"/>
        <v>3</v>
      </c>
      <c r="AI36" s="1">
        <v>46178</v>
      </c>
      <c r="AJ36" t="s">
        <v>72</v>
      </c>
      <c r="AK36" t="s">
        <v>77</v>
      </c>
      <c r="AL36" t="s">
        <v>80</v>
      </c>
      <c r="AM36">
        <v>20</v>
      </c>
    </row>
    <row r="37" spans="1:41" x14ac:dyDescent="0.25">
      <c r="A37">
        <v>16.3</v>
      </c>
      <c r="B37">
        <v>26.8</v>
      </c>
      <c r="C37">
        <v>0</v>
      </c>
      <c r="D37">
        <v>6</v>
      </c>
      <c r="E37">
        <v>6.3</v>
      </c>
      <c r="F37">
        <v>39</v>
      </c>
      <c r="G37" t="s">
        <v>28</v>
      </c>
      <c r="H37" t="s">
        <v>28</v>
      </c>
      <c r="I37">
        <v>13</v>
      </c>
      <c r="J37">
        <v>9</v>
      </c>
      <c r="K37">
        <v>78</v>
      </c>
      <c r="L37">
        <v>54</v>
      </c>
      <c r="M37">
        <v>1018.8</v>
      </c>
      <c r="N37">
        <v>1016.1</v>
      </c>
      <c r="O37">
        <v>8</v>
      </c>
      <c r="P37">
        <v>24.5</v>
      </c>
      <c r="Q37" t="s">
        <v>19</v>
      </c>
      <c r="S37">
        <v>27</v>
      </c>
      <c r="T37">
        <v>31.918646587848926</v>
      </c>
      <c r="U37">
        <v>5.65</v>
      </c>
      <c r="W37">
        <f t="shared" si="0"/>
        <v>13</v>
      </c>
      <c r="X37">
        <f t="shared" si="1"/>
        <v>38.5</v>
      </c>
      <c r="Y37">
        <f t="shared" si="2"/>
        <v>28.3</v>
      </c>
      <c r="Z37">
        <f t="shared" si="3"/>
        <v>54</v>
      </c>
      <c r="AA37">
        <f t="shared" si="4"/>
        <v>155</v>
      </c>
      <c r="AB37">
        <f t="shared" si="5"/>
        <v>149</v>
      </c>
      <c r="AC37" t="str">
        <f t="shared" si="6"/>
        <v>N</v>
      </c>
      <c r="AD37" t="str">
        <f t="shared" si="7"/>
        <v>E</v>
      </c>
      <c r="AE37">
        <f t="shared" si="8"/>
        <v>3</v>
      </c>
      <c r="AL37" s="6" t="s">
        <v>82</v>
      </c>
      <c r="AM37">
        <f>SUM(AM32:AM36)</f>
        <v>210</v>
      </c>
    </row>
    <row r="38" spans="1:41" x14ac:dyDescent="0.25">
      <c r="A38">
        <v>17.2</v>
      </c>
      <c r="B38">
        <v>25.8</v>
      </c>
      <c r="C38">
        <v>0</v>
      </c>
      <c r="D38">
        <v>4.2</v>
      </c>
      <c r="E38">
        <v>8.8000000000000007</v>
      </c>
      <c r="F38">
        <v>41</v>
      </c>
      <c r="G38" t="s">
        <v>17</v>
      </c>
      <c r="H38" t="s">
        <v>24</v>
      </c>
      <c r="I38">
        <v>6</v>
      </c>
      <c r="J38">
        <v>6</v>
      </c>
      <c r="K38">
        <v>70</v>
      </c>
      <c r="L38">
        <v>74</v>
      </c>
      <c r="M38">
        <v>1014.5</v>
      </c>
      <c r="N38">
        <v>1011.5</v>
      </c>
      <c r="O38">
        <v>6</v>
      </c>
      <c r="P38">
        <v>22.6</v>
      </c>
      <c r="Q38" t="s">
        <v>19</v>
      </c>
      <c r="S38">
        <v>26</v>
      </c>
      <c r="T38">
        <v>31.851216617265973</v>
      </c>
      <c r="U38">
        <v>5.64</v>
      </c>
      <c r="W38">
        <f t="shared" si="0"/>
        <v>6</v>
      </c>
      <c r="X38">
        <f t="shared" si="1"/>
        <v>39</v>
      </c>
      <c r="Y38">
        <f t="shared" si="2"/>
        <v>20.8</v>
      </c>
      <c r="Z38">
        <f t="shared" si="3"/>
        <v>70</v>
      </c>
      <c r="AA38">
        <f t="shared" si="4"/>
        <v>129</v>
      </c>
      <c r="AB38">
        <f t="shared" si="5"/>
        <v>175</v>
      </c>
      <c r="AC38" t="str">
        <f t="shared" si="6"/>
        <v>N</v>
      </c>
      <c r="AD38" t="str">
        <f t="shared" si="7"/>
        <v>N</v>
      </c>
      <c r="AE38">
        <f t="shared" si="8"/>
        <v>2</v>
      </c>
    </row>
    <row r="39" spans="1:41" x14ac:dyDescent="0.25">
      <c r="A39">
        <v>16.5</v>
      </c>
      <c r="B39">
        <v>28.2</v>
      </c>
      <c r="C39">
        <v>4</v>
      </c>
      <c r="D39">
        <v>4.2</v>
      </c>
      <c r="E39">
        <v>8.8000000000000007</v>
      </c>
      <c r="F39">
        <v>39</v>
      </c>
      <c r="G39" t="s">
        <v>22</v>
      </c>
      <c r="H39" t="s">
        <v>24</v>
      </c>
      <c r="I39">
        <v>7</v>
      </c>
      <c r="J39">
        <v>13</v>
      </c>
      <c r="K39">
        <v>76</v>
      </c>
      <c r="L39">
        <v>42</v>
      </c>
      <c r="M39">
        <v>1014.8</v>
      </c>
      <c r="N39">
        <v>1011.4</v>
      </c>
      <c r="O39">
        <v>8</v>
      </c>
      <c r="P39">
        <v>26.3</v>
      </c>
      <c r="Q39" t="s">
        <v>20</v>
      </c>
      <c r="S39">
        <v>28</v>
      </c>
      <c r="T39">
        <v>31.855925665407998</v>
      </c>
      <c r="U39">
        <v>5.64</v>
      </c>
      <c r="W39">
        <f t="shared" si="0"/>
        <v>13</v>
      </c>
      <c r="X39">
        <f t="shared" si="1"/>
        <v>34.5</v>
      </c>
      <c r="Y39">
        <f t="shared" si="2"/>
        <v>28.8</v>
      </c>
      <c r="Z39">
        <f t="shared" si="3"/>
        <v>42</v>
      </c>
      <c r="AA39">
        <f t="shared" si="4"/>
        <v>154</v>
      </c>
      <c r="AB39">
        <f t="shared" si="5"/>
        <v>149</v>
      </c>
      <c r="AC39" t="str">
        <f t="shared" si="6"/>
        <v>Y</v>
      </c>
      <c r="AD39" t="str">
        <f t="shared" si="7"/>
        <v>N</v>
      </c>
      <c r="AE39">
        <f t="shared" si="8"/>
        <v>1</v>
      </c>
      <c r="AJ39" s="3" t="s">
        <v>83</v>
      </c>
      <c r="AL39" s="5" t="s">
        <v>41</v>
      </c>
    </row>
    <row r="40" spans="1:41" x14ac:dyDescent="0.25">
      <c r="A40">
        <v>15</v>
      </c>
      <c r="B40">
        <v>29.4</v>
      </c>
      <c r="C40">
        <v>0</v>
      </c>
      <c r="D40">
        <v>6.6</v>
      </c>
      <c r="E40">
        <v>11.1</v>
      </c>
      <c r="F40">
        <v>43</v>
      </c>
      <c r="G40" t="s">
        <v>24</v>
      </c>
      <c r="H40" t="s">
        <v>23</v>
      </c>
      <c r="I40">
        <v>9</v>
      </c>
      <c r="J40">
        <v>24</v>
      </c>
      <c r="K40">
        <v>78</v>
      </c>
      <c r="L40">
        <v>24</v>
      </c>
      <c r="M40">
        <v>1010.8</v>
      </c>
      <c r="N40">
        <v>1008.5</v>
      </c>
      <c r="O40">
        <v>7</v>
      </c>
      <c r="P40">
        <v>28.6</v>
      </c>
      <c r="Q40" t="s">
        <v>19</v>
      </c>
      <c r="S40">
        <v>29</v>
      </c>
      <c r="T40">
        <v>31.79308100829487</v>
      </c>
      <c r="U40">
        <v>5.64</v>
      </c>
      <c r="W40">
        <f t="shared" si="0"/>
        <v>24</v>
      </c>
      <c r="X40">
        <f t="shared" si="1"/>
        <v>33.75</v>
      </c>
      <c r="Y40">
        <f t="shared" si="2"/>
        <v>44.1</v>
      </c>
      <c r="Z40">
        <f t="shared" si="3"/>
        <v>24</v>
      </c>
      <c r="AA40">
        <f t="shared" si="4"/>
        <v>113</v>
      </c>
      <c r="AB40">
        <f t="shared" si="5"/>
        <v>199</v>
      </c>
      <c r="AC40" t="str">
        <f t="shared" si="6"/>
        <v>N</v>
      </c>
      <c r="AD40" t="str">
        <f t="shared" si="7"/>
        <v>W</v>
      </c>
      <c r="AE40">
        <f t="shared" si="8"/>
        <v>1</v>
      </c>
      <c r="AJ40">
        <f>SUMIF(AK32:AK36,"RED",AM32:AM36)</f>
        <v>140</v>
      </c>
      <c r="AL40">
        <f>AVERAGE(AM32:AM36)</f>
        <v>42</v>
      </c>
    </row>
    <row r="41" spans="1:41" x14ac:dyDescent="0.25">
      <c r="A41">
        <v>14.9</v>
      </c>
      <c r="B41">
        <v>24.8</v>
      </c>
      <c r="C41">
        <v>0</v>
      </c>
      <c r="D41">
        <v>10.4</v>
      </c>
      <c r="E41">
        <v>10</v>
      </c>
      <c r="F41">
        <v>35</v>
      </c>
      <c r="G41" t="s">
        <v>25</v>
      </c>
      <c r="H41" t="s">
        <v>26</v>
      </c>
      <c r="I41">
        <v>11</v>
      </c>
      <c r="J41">
        <v>6</v>
      </c>
      <c r="K41">
        <v>58</v>
      </c>
      <c r="L41">
        <v>37</v>
      </c>
      <c r="M41">
        <v>1011.7</v>
      </c>
      <c r="N41">
        <v>1010.4</v>
      </c>
      <c r="O41">
        <v>7</v>
      </c>
      <c r="P41">
        <v>22.9</v>
      </c>
      <c r="Q41" t="s">
        <v>19</v>
      </c>
      <c r="S41">
        <v>25</v>
      </c>
      <c r="T41">
        <v>31.807231882073612</v>
      </c>
      <c r="U41">
        <v>5.64</v>
      </c>
      <c r="W41">
        <f t="shared" si="0"/>
        <v>11</v>
      </c>
      <c r="X41">
        <f t="shared" si="1"/>
        <v>28</v>
      </c>
      <c r="Y41">
        <f t="shared" si="2"/>
        <v>27</v>
      </c>
      <c r="Z41">
        <f t="shared" si="3"/>
        <v>37</v>
      </c>
      <c r="AA41">
        <f t="shared" si="4"/>
        <v>178</v>
      </c>
      <c r="AB41">
        <f t="shared" si="5"/>
        <v>125</v>
      </c>
      <c r="AC41" t="str">
        <f t="shared" si="6"/>
        <v>N</v>
      </c>
      <c r="AD41" t="str">
        <f t="shared" si="7"/>
        <v>W</v>
      </c>
      <c r="AE41">
        <f t="shared" si="8"/>
        <v>3</v>
      </c>
    </row>
    <row r="42" spans="1:41" x14ac:dyDescent="0.25">
      <c r="A42">
        <v>11.8</v>
      </c>
      <c r="B42">
        <v>18.5</v>
      </c>
      <c r="C42">
        <v>0.6</v>
      </c>
      <c r="D42">
        <v>4.8</v>
      </c>
      <c r="E42">
        <v>2.2999999999999998</v>
      </c>
      <c r="F42">
        <v>35</v>
      </c>
      <c r="G42" t="s">
        <v>28</v>
      </c>
      <c r="H42" t="s">
        <v>22</v>
      </c>
      <c r="I42">
        <v>9</v>
      </c>
      <c r="J42">
        <v>15</v>
      </c>
      <c r="K42">
        <v>60</v>
      </c>
      <c r="L42">
        <v>63</v>
      </c>
      <c r="M42">
        <v>1018</v>
      </c>
      <c r="N42">
        <v>1017.4</v>
      </c>
      <c r="O42">
        <v>8</v>
      </c>
      <c r="P42">
        <v>16.399999999999999</v>
      </c>
      <c r="Q42" t="s">
        <v>19</v>
      </c>
      <c r="S42">
        <v>19</v>
      </c>
      <c r="T42">
        <v>31.906112267087632</v>
      </c>
      <c r="U42">
        <v>5.65</v>
      </c>
      <c r="W42">
        <f t="shared" si="0"/>
        <v>15</v>
      </c>
      <c r="X42">
        <f t="shared" si="1"/>
        <v>36.75</v>
      </c>
      <c r="Y42">
        <f t="shared" si="2"/>
        <v>26.3</v>
      </c>
      <c r="Z42">
        <f t="shared" si="3"/>
        <v>60</v>
      </c>
      <c r="AA42">
        <f t="shared" si="4"/>
        <v>178</v>
      </c>
      <c r="AB42">
        <f t="shared" si="5"/>
        <v>125</v>
      </c>
      <c r="AC42" t="str">
        <f t="shared" si="6"/>
        <v>N</v>
      </c>
      <c r="AD42" t="str">
        <f t="shared" si="7"/>
        <v>E</v>
      </c>
      <c r="AE42">
        <f t="shared" si="8"/>
        <v>3</v>
      </c>
      <c r="AJ42" s="3" t="s">
        <v>84</v>
      </c>
      <c r="AL42" s="5" t="s">
        <v>87</v>
      </c>
      <c r="AN42" s="5" t="s">
        <v>88</v>
      </c>
    </row>
    <row r="43" spans="1:41" x14ac:dyDescent="0.25">
      <c r="A43">
        <v>11.7</v>
      </c>
      <c r="B43">
        <v>21.5</v>
      </c>
      <c r="C43">
        <v>0</v>
      </c>
      <c r="D43">
        <v>4.2</v>
      </c>
      <c r="E43">
        <v>7.3</v>
      </c>
      <c r="F43">
        <v>41</v>
      </c>
      <c r="G43" t="s">
        <v>28</v>
      </c>
      <c r="H43" t="s">
        <v>22</v>
      </c>
      <c r="I43">
        <v>15</v>
      </c>
      <c r="J43">
        <v>24</v>
      </c>
      <c r="K43">
        <v>66</v>
      </c>
      <c r="L43">
        <v>51</v>
      </c>
      <c r="M43">
        <v>1021.1</v>
      </c>
      <c r="N43">
        <v>1019.6</v>
      </c>
      <c r="O43">
        <v>7</v>
      </c>
      <c r="P43">
        <v>19.399999999999999</v>
      </c>
      <c r="Q43" t="s">
        <v>19</v>
      </c>
      <c r="S43">
        <v>22</v>
      </c>
      <c r="T43">
        <v>31.954655372887377</v>
      </c>
      <c r="U43">
        <v>5.65</v>
      </c>
      <c r="W43">
        <f t="shared" si="0"/>
        <v>24</v>
      </c>
      <c r="X43">
        <f t="shared" si="1"/>
        <v>39</v>
      </c>
      <c r="Y43">
        <f t="shared" si="2"/>
        <v>46.3</v>
      </c>
      <c r="Z43">
        <f t="shared" si="3"/>
        <v>51</v>
      </c>
      <c r="AA43">
        <f t="shared" si="4"/>
        <v>128</v>
      </c>
      <c r="AB43">
        <f t="shared" si="5"/>
        <v>172</v>
      </c>
      <c r="AC43" t="str">
        <f t="shared" si="6"/>
        <v>N</v>
      </c>
      <c r="AD43" t="str">
        <f t="shared" si="7"/>
        <v>E</v>
      </c>
      <c r="AE43">
        <f t="shared" si="8"/>
        <v>3</v>
      </c>
      <c r="AI43" t="s">
        <v>85</v>
      </c>
      <c r="AJ43">
        <f>SUMIFS(AM32:AM36,AK32:AK36,"RED",AL32:AL36,"AP")</f>
        <v>140</v>
      </c>
      <c r="AL43">
        <f>AVERAGEIF(AJ32:AJ36,"MOUSE",AM32:AM36)</f>
        <v>43.333333333333336</v>
      </c>
      <c r="AM43" t="s">
        <v>72</v>
      </c>
      <c r="AN43">
        <f>AVERAGEIFS(AM32:AM36,AL32:AL36,"AP",AJ32:AJ36,"MOUSE",AK32:AK36,"RED")</f>
        <v>55</v>
      </c>
      <c r="AO43" t="s">
        <v>89</v>
      </c>
    </row>
    <row r="44" spans="1:41" x14ac:dyDescent="0.25">
      <c r="A44">
        <v>9.6</v>
      </c>
      <c r="B44">
        <v>20.3</v>
      </c>
      <c r="C44">
        <v>0</v>
      </c>
      <c r="D44">
        <v>5</v>
      </c>
      <c r="E44">
        <v>3.6</v>
      </c>
      <c r="F44">
        <v>39</v>
      </c>
      <c r="G44" t="s">
        <v>28</v>
      </c>
      <c r="H44" t="s">
        <v>22</v>
      </c>
      <c r="I44">
        <v>22</v>
      </c>
      <c r="J44">
        <v>20</v>
      </c>
      <c r="K44">
        <v>70</v>
      </c>
      <c r="L44">
        <v>49</v>
      </c>
      <c r="M44">
        <v>1021.9</v>
      </c>
      <c r="N44">
        <v>1019.3</v>
      </c>
      <c r="O44">
        <v>7</v>
      </c>
      <c r="P44">
        <v>19.2</v>
      </c>
      <c r="Q44" t="s">
        <v>19</v>
      </c>
      <c r="S44">
        <v>20</v>
      </c>
      <c r="T44">
        <v>31.967170659912959</v>
      </c>
      <c r="U44">
        <v>5.65</v>
      </c>
      <c r="W44">
        <f t="shared" si="0"/>
        <v>22</v>
      </c>
      <c r="X44">
        <f t="shared" si="1"/>
        <v>40.25</v>
      </c>
      <c r="Y44">
        <f t="shared" si="2"/>
        <v>45.6</v>
      </c>
      <c r="Z44">
        <f t="shared" si="3"/>
        <v>49</v>
      </c>
      <c r="AA44">
        <f t="shared" si="4"/>
        <v>152</v>
      </c>
      <c r="AB44">
        <f t="shared" si="5"/>
        <v>147</v>
      </c>
      <c r="AC44" t="str">
        <f t="shared" si="6"/>
        <v>N</v>
      </c>
      <c r="AD44" t="str">
        <f t="shared" si="7"/>
        <v>E</v>
      </c>
      <c r="AE44">
        <f t="shared" si="8"/>
        <v>3</v>
      </c>
      <c r="AH44" t="s">
        <v>86</v>
      </c>
      <c r="AJ44">
        <f>SUMIFS(AM32:AM36,AK32:AK36,"RED",AL32:AL36,"AP",AJ32:AJ36,"MOUSE")</f>
        <v>110</v>
      </c>
      <c r="AN44">
        <f>AVERAGEIFS(AM32:AM36,AK32:AK36,"RED",AJ32:AJ36,"MOUSE")</f>
        <v>55</v>
      </c>
      <c r="AO44" t="s">
        <v>90</v>
      </c>
    </row>
    <row r="45" spans="1:41" x14ac:dyDescent="0.25">
      <c r="A45">
        <v>8.9</v>
      </c>
      <c r="B45">
        <v>27.1</v>
      </c>
      <c r="C45">
        <v>0</v>
      </c>
      <c r="D45">
        <v>4.4000000000000004</v>
      </c>
      <c r="E45">
        <v>12.7</v>
      </c>
      <c r="F45">
        <v>35</v>
      </c>
      <c r="G45" t="s">
        <v>33</v>
      </c>
      <c r="H45" t="s">
        <v>24</v>
      </c>
      <c r="I45">
        <v>6</v>
      </c>
      <c r="J45">
        <v>11</v>
      </c>
      <c r="K45">
        <v>63</v>
      </c>
      <c r="L45">
        <v>37</v>
      </c>
      <c r="M45">
        <v>1018.1</v>
      </c>
      <c r="N45">
        <v>1012.5</v>
      </c>
      <c r="O45">
        <v>1</v>
      </c>
      <c r="P45">
        <v>25</v>
      </c>
      <c r="Q45" t="s">
        <v>19</v>
      </c>
      <c r="S45">
        <v>27</v>
      </c>
      <c r="T45">
        <v>31.907679326456822</v>
      </c>
      <c r="U45">
        <v>5.65</v>
      </c>
      <c r="W45">
        <f t="shared" si="0"/>
        <v>11</v>
      </c>
      <c r="X45">
        <f t="shared" si="1"/>
        <v>29.25</v>
      </c>
      <c r="Y45">
        <f t="shared" si="2"/>
        <v>29.7</v>
      </c>
      <c r="Z45">
        <f t="shared" si="3"/>
        <v>37</v>
      </c>
      <c r="AA45">
        <f t="shared" si="4"/>
        <v>176</v>
      </c>
      <c r="AB45">
        <f t="shared" si="5"/>
        <v>125</v>
      </c>
      <c r="AC45" t="str">
        <f t="shared" si="6"/>
        <v>N</v>
      </c>
      <c r="AD45" t="str">
        <f t="shared" si="7"/>
        <v>N</v>
      </c>
      <c r="AE45">
        <f t="shared" si="8"/>
        <v>3</v>
      </c>
    </row>
    <row r="46" spans="1:41" x14ac:dyDescent="0.25">
      <c r="A46">
        <v>10.1</v>
      </c>
      <c r="B46">
        <v>29.9</v>
      </c>
      <c r="C46">
        <v>0</v>
      </c>
      <c r="D46">
        <v>6.8</v>
      </c>
      <c r="E46">
        <v>8.8000000000000007</v>
      </c>
      <c r="F46">
        <v>41</v>
      </c>
      <c r="G46" t="s">
        <v>29</v>
      </c>
      <c r="H46" t="s">
        <v>26</v>
      </c>
      <c r="I46">
        <v>2</v>
      </c>
      <c r="J46">
        <v>13</v>
      </c>
      <c r="K46">
        <v>63</v>
      </c>
      <c r="L46">
        <v>36</v>
      </c>
      <c r="M46">
        <v>1012.6</v>
      </c>
      <c r="N46">
        <v>1010.2</v>
      </c>
      <c r="O46">
        <v>1</v>
      </c>
      <c r="P46">
        <v>29.1</v>
      </c>
      <c r="Q46" t="s">
        <v>19</v>
      </c>
      <c r="S46">
        <v>30</v>
      </c>
      <c r="T46">
        <v>31.821376463000465</v>
      </c>
      <c r="U46">
        <v>5.64</v>
      </c>
      <c r="W46">
        <f t="shared" si="0"/>
        <v>13</v>
      </c>
      <c r="X46">
        <f t="shared" si="1"/>
        <v>28.5</v>
      </c>
      <c r="Y46">
        <f t="shared" si="2"/>
        <v>23.8</v>
      </c>
      <c r="Z46">
        <f t="shared" si="3"/>
        <v>36</v>
      </c>
      <c r="AA46">
        <f t="shared" si="4"/>
        <v>128</v>
      </c>
      <c r="AB46">
        <f t="shared" si="5"/>
        <v>170</v>
      </c>
      <c r="AC46" t="str">
        <f t="shared" si="6"/>
        <v>N</v>
      </c>
      <c r="AD46" t="str">
        <f t="shared" si="7"/>
        <v>W</v>
      </c>
      <c r="AE46">
        <f t="shared" si="8"/>
        <v>2</v>
      </c>
    </row>
    <row r="47" spans="1:41" x14ac:dyDescent="0.25">
      <c r="A47">
        <v>15.5</v>
      </c>
      <c r="B47">
        <v>21.1</v>
      </c>
      <c r="C47">
        <v>5.4</v>
      </c>
      <c r="D47">
        <v>6.4</v>
      </c>
      <c r="E47">
        <v>0.9</v>
      </c>
      <c r="F47">
        <v>31</v>
      </c>
      <c r="G47" t="s">
        <v>27</v>
      </c>
      <c r="H47" t="s">
        <v>32</v>
      </c>
      <c r="I47">
        <v>6</v>
      </c>
      <c r="J47">
        <v>7</v>
      </c>
      <c r="K47">
        <v>93</v>
      </c>
      <c r="L47">
        <v>86</v>
      </c>
      <c r="M47">
        <v>1010.1</v>
      </c>
      <c r="N47">
        <v>1008.6</v>
      </c>
      <c r="O47">
        <v>8</v>
      </c>
      <c r="P47">
        <v>20</v>
      </c>
      <c r="Q47" t="s">
        <v>20</v>
      </c>
      <c r="S47">
        <v>21</v>
      </c>
      <c r="T47">
        <v>31.782070417139284</v>
      </c>
      <c r="U47">
        <v>5.64</v>
      </c>
      <c r="W47">
        <f t="shared" si="0"/>
        <v>7</v>
      </c>
      <c r="X47">
        <f t="shared" si="1"/>
        <v>48</v>
      </c>
      <c r="Y47">
        <f t="shared" si="2"/>
        <v>13.9</v>
      </c>
      <c r="Z47">
        <f t="shared" si="3"/>
        <v>86</v>
      </c>
      <c r="AA47">
        <f t="shared" si="4"/>
        <v>213</v>
      </c>
      <c r="AB47">
        <f t="shared" si="5"/>
        <v>79</v>
      </c>
      <c r="AC47" t="str">
        <f t="shared" si="6"/>
        <v>Y</v>
      </c>
      <c r="AD47" t="str">
        <f t="shared" si="7"/>
        <v>E</v>
      </c>
      <c r="AE47">
        <f t="shared" si="8"/>
        <v>3</v>
      </c>
    </row>
    <row r="48" spans="1:41" x14ac:dyDescent="0.25">
      <c r="A48">
        <v>10.8</v>
      </c>
      <c r="B48">
        <v>21.7</v>
      </c>
      <c r="C48">
        <v>1.4</v>
      </c>
      <c r="D48">
        <v>2.8</v>
      </c>
      <c r="E48">
        <v>10.6</v>
      </c>
      <c r="F48">
        <v>48</v>
      </c>
      <c r="G48" t="s">
        <v>27</v>
      </c>
      <c r="H48" t="s">
        <v>28</v>
      </c>
      <c r="I48">
        <v>13</v>
      </c>
      <c r="J48">
        <v>20</v>
      </c>
      <c r="K48">
        <v>59</v>
      </c>
      <c r="L48">
        <v>40</v>
      </c>
      <c r="M48">
        <v>1017.6</v>
      </c>
      <c r="N48">
        <v>1016.8</v>
      </c>
      <c r="O48">
        <v>1</v>
      </c>
      <c r="P48">
        <v>20.8</v>
      </c>
      <c r="Q48" t="s">
        <v>20</v>
      </c>
      <c r="S48">
        <v>22</v>
      </c>
      <c r="T48">
        <v>31.899843259803017</v>
      </c>
      <c r="U48">
        <v>5.65</v>
      </c>
      <c r="W48">
        <f t="shared" si="0"/>
        <v>20</v>
      </c>
      <c r="X48">
        <f t="shared" si="1"/>
        <v>33</v>
      </c>
      <c r="Y48">
        <f t="shared" si="2"/>
        <v>43.6</v>
      </c>
      <c r="Z48">
        <f t="shared" si="3"/>
        <v>40</v>
      </c>
      <c r="AA48">
        <f t="shared" si="4"/>
        <v>62</v>
      </c>
      <c r="AB48">
        <f t="shared" si="5"/>
        <v>241</v>
      </c>
      <c r="AC48" t="str">
        <f t="shared" si="6"/>
        <v>Y</v>
      </c>
      <c r="AD48" t="str">
        <f t="shared" si="7"/>
        <v>E</v>
      </c>
      <c r="AE48">
        <f t="shared" si="8"/>
        <v>3</v>
      </c>
    </row>
    <row r="49" spans="1:39" x14ac:dyDescent="0.25">
      <c r="A49">
        <v>7.5</v>
      </c>
      <c r="B49">
        <v>20.9</v>
      </c>
      <c r="C49">
        <v>0</v>
      </c>
      <c r="D49">
        <v>6.6</v>
      </c>
      <c r="E49">
        <v>8.6999999999999993</v>
      </c>
      <c r="F49">
        <v>39</v>
      </c>
      <c r="G49" t="s">
        <v>29</v>
      </c>
      <c r="H49" t="s">
        <v>22</v>
      </c>
      <c r="I49">
        <v>13</v>
      </c>
      <c r="J49">
        <v>20</v>
      </c>
      <c r="K49">
        <v>61</v>
      </c>
      <c r="L49">
        <v>43</v>
      </c>
      <c r="M49">
        <v>1020.6</v>
      </c>
      <c r="N49">
        <v>1018.3</v>
      </c>
      <c r="O49">
        <v>6</v>
      </c>
      <c r="P49">
        <v>19.8</v>
      </c>
      <c r="Q49" t="s">
        <v>19</v>
      </c>
      <c r="S49">
        <v>21</v>
      </c>
      <c r="T49">
        <v>31.946830828737927</v>
      </c>
      <c r="U49">
        <v>5.65</v>
      </c>
      <c r="W49">
        <f t="shared" si="0"/>
        <v>20</v>
      </c>
      <c r="X49">
        <f t="shared" si="1"/>
        <v>34.25</v>
      </c>
      <c r="Y49">
        <f t="shared" si="2"/>
        <v>41.7</v>
      </c>
      <c r="Z49">
        <f t="shared" si="3"/>
        <v>43</v>
      </c>
      <c r="AA49">
        <f t="shared" si="4"/>
        <v>150</v>
      </c>
      <c r="AB49">
        <f t="shared" si="5"/>
        <v>145</v>
      </c>
      <c r="AC49" t="str">
        <f t="shared" si="6"/>
        <v>N</v>
      </c>
      <c r="AD49" t="str">
        <f t="shared" si="7"/>
        <v>E</v>
      </c>
      <c r="AE49">
        <f t="shared" si="8"/>
        <v>2</v>
      </c>
    </row>
    <row r="50" spans="1:39" x14ac:dyDescent="0.25">
      <c r="A50">
        <v>12.8</v>
      </c>
      <c r="B50">
        <v>21</v>
      </c>
      <c r="C50">
        <v>0</v>
      </c>
      <c r="D50">
        <v>6.4</v>
      </c>
      <c r="E50">
        <v>0.8</v>
      </c>
      <c r="F50">
        <v>22</v>
      </c>
      <c r="G50" t="s">
        <v>32</v>
      </c>
      <c r="H50" t="s">
        <v>21</v>
      </c>
      <c r="I50">
        <v>7</v>
      </c>
      <c r="J50">
        <v>6</v>
      </c>
      <c r="K50">
        <v>72</v>
      </c>
      <c r="L50">
        <v>54</v>
      </c>
      <c r="M50">
        <v>1018</v>
      </c>
      <c r="N50">
        <v>1015.6</v>
      </c>
      <c r="O50">
        <v>8</v>
      </c>
      <c r="P50">
        <v>20</v>
      </c>
      <c r="Q50" t="s">
        <v>19</v>
      </c>
      <c r="S50">
        <v>21</v>
      </c>
      <c r="T50">
        <v>31.906112267087632</v>
      </c>
      <c r="U50">
        <v>5.65</v>
      </c>
      <c r="W50">
        <f t="shared" si="0"/>
        <v>7</v>
      </c>
      <c r="X50">
        <f t="shared" si="1"/>
        <v>34.75</v>
      </c>
      <c r="Y50">
        <f t="shared" si="2"/>
        <v>13.8</v>
      </c>
      <c r="Z50">
        <f t="shared" si="3"/>
        <v>54</v>
      </c>
      <c r="AA50">
        <f t="shared" si="4"/>
        <v>286</v>
      </c>
      <c r="AB50">
        <f t="shared" si="5"/>
        <v>21</v>
      </c>
      <c r="AC50" t="str">
        <f t="shared" si="6"/>
        <v>N</v>
      </c>
      <c r="AD50" t="str">
        <f t="shared" si="7"/>
        <v>E</v>
      </c>
      <c r="AE50">
        <f t="shared" si="8"/>
        <v>2</v>
      </c>
      <c r="AI50" s="6" t="s">
        <v>6</v>
      </c>
      <c r="AJ50" s="6" t="s">
        <v>7</v>
      </c>
      <c r="AK50" s="6" t="s">
        <v>8</v>
      </c>
      <c r="AL50" s="6" t="s">
        <v>9</v>
      </c>
      <c r="AM50" s="6" t="s">
        <v>10</v>
      </c>
    </row>
    <row r="51" spans="1:39" x14ac:dyDescent="0.25">
      <c r="A51">
        <v>12.6</v>
      </c>
      <c r="B51">
        <v>23.1</v>
      </c>
      <c r="C51">
        <v>3.4</v>
      </c>
      <c r="D51">
        <v>1.6</v>
      </c>
      <c r="E51">
        <v>2.2999999999999998</v>
      </c>
      <c r="F51">
        <v>30</v>
      </c>
      <c r="G51" t="s">
        <v>24</v>
      </c>
      <c r="H51" t="s">
        <v>17</v>
      </c>
      <c r="I51">
        <v>4</v>
      </c>
      <c r="J51">
        <v>13</v>
      </c>
      <c r="K51">
        <v>97</v>
      </c>
      <c r="L51">
        <v>74</v>
      </c>
      <c r="M51">
        <v>1015.8</v>
      </c>
      <c r="N51">
        <v>1014.1</v>
      </c>
      <c r="O51">
        <v>8</v>
      </c>
      <c r="P51">
        <v>20.399999999999999</v>
      </c>
      <c r="Q51" t="s">
        <v>20</v>
      </c>
      <c r="S51">
        <v>23</v>
      </c>
      <c r="T51">
        <v>31.871617467583913</v>
      </c>
      <c r="U51">
        <v>5.65</v>
      </c>
      <c r="W51">
        <f t="shared" si="0"/>
        <v>13</v>
      </c>
      <c r="X51">
        <f t="shared" si="1"/>
        <v>47</v>
      </c>
      <c r="Y51">
        <f t="shared" si="2"/>
        <v>19.3</v>
      </c>
      <c r="Z51">
        <f t="shared" si="3"/>
        <v>74</v>
      </c>
      <c r="AA51">
        <f t="shared" si="4"/>
        <v>239</v>
      </c>
      <c r="AB51">
        <f t="shared" si="5"/>
        <v>59</v>
      </c>
      <c r="AC51" t="str">
        <f t="shared" si="6"/>
        <v>Y</v>
      </c>
      <c r="AD51" t="str">
        <f t="shared" si="7"/>
        <v>W</v>
      </c>
      <c r="AE51">
        <f t="shared" si="8"/>
        <v>1</v>
      </c>
      <c r="AI51" t="s">
        <v>18</v>
      </c>
      <c r="AJ51" t="s">
        <v>17</v>
      </c>
      <c r="AK51">
        <v>6</v>
      </c>
      <c r="AL51">
        <v>20</v>
      </c>
      <c r="AM51">
        <v>68</v>
      </c>
    </row>
    <row r="52" spans="1:39" x14ac:dyDescent="0.25">
      <c r="A52">
        <v>14.8</v>
      </c>
      <c r="B52">
        <v>29.5</v>
      </c>
      <c r="C52">
        <v>6.4</v>
      </c>
      <c r="D52">
        <v>1.8</v>
      </c>
      <c r="E52">
        <v>8.1</v>
      </c>
      <c r="F52">
        <v>41</v>
      </c>
      <c r="G52" t="s">
        <v>17</v>
      </c>
      <c r="H52" t="s">
        <v>17</v>
      </c>
      <c r="I52">
        <v>6</v>
      </c>
      <c r="J52">
        <v>22</v>
      </c>
      <c r="K52">
        <v>81</v>
      </c>
      <c r="L52">
        <v>48</v>
      </c>
      <c r="M52">
        <v>1012.9</v>
      </c>
      <c r="N52">
        <v>1008.3</v>
      </c>
      <c r="O52">
        <v>2</v>
      </c>
      <c r="P52">
        <v>28.2</v>
      </c>
      <c r="Q52" t="s">
        <v>20</v>
      </c>
      <c r="S52">
        <v>30</v>
      </c>
      <c r="T52">
        <v>31.826089926348164</v>
      </c>
      <c r="U52">
        <v>5.64</v>
      </c>
      <c r="W52">
        <f t="shared" si="0"/>
        <v>22</v>
      </c>
      <c r="X52">
        <f t="shared" si="1"/>
        <v>39.25</v>
      </c>
      <c r="Y52">
        <f t="shared" si="2"/>
        <v>36.1</v>
      </c>
      <c r="Z52">
        <f t="shared" si="3"/>
        <v>48</v>
      </c>
      <c r="AA52">
        <f t="shared" si="4"/>
        <v>127</v>
      </c>
      <c r="AB52">
        <f t="shared" si="5"/>
        <v>166</v>
      </c>
      <c r="AC52" t="str">
        <f t="shared" si="6"/>
        <v>Y</v>
      </c>
      <c r="AD52" t="str">
        <f t="shared" si="7"/>
        <v>W</v>
      </c>
      <c r="AE52">
        <f t="shared" si="8"/>
        <v>2</v>
      </c>
      <c r="AI52" t="s">
        <v>22</v>
      </c>
      <c r="AJ52" t="s">
        <v>23</v>
      </c>
      <c r="AK52">
        <v>4</v>
      </c>
      <c r="AL52">
        <v>17</v>
      </c>
      <c r="AM52">
        <v>80</v>
      </c>
    </row>
    <row r="53" spans="1:39" x14ac:dyDescent="0.25">
      <c r="A53">
        <v>19.899999999999999</v>
      </c>
      <c r="B53">
        <v>22</v>
      </c>
      <c r="C53">
        <v>11</v>
      </c>
      <c r="D53">
        <v>4.4000000000000004</v>
      </c>
      <c r="E53">
        <v>5.9</v>
      </c>
      <c r="F53">
        <v>76</v>
      </c>
      <c r="G53" t="s">
        <v>24</v>
      </c>
      <c r="H53" t="s">
        <v>26</v>
      </c>
      <c r="I53">
        <v>41</v>
      </c>
      <c r="J53">
        <v>30</v>
      </c>
      <c r="K53">
        <v>92</v>
      </c>
      <c r="L53">
        <v>62</v>
      </c>
      <c r="M53">
        <v>996.5</v>
      </c>
      <c r="N53">
        <v>996.8</v>
      </c>
      <c r="O53">
        <v>8</v>
      </c>
      <c r="P53">
        <v>19.600000000000001</v>
      </c>
      <c r="Q53" t="s">
        <v>20</v>
      </c>
      <c r="S53">
        <v>22</v>
      </c>
      <c r="T53">
        <v>31.567388235329194</v>
      </c>
      <c r="U53">
        <v>5.62</v>
      </c>
      <c r="W53">
        <f t="shared" si="0"/>
        <v>41</v>
      </c>
      <c r="X53">
        <f t="shared" si="1"/>
        <v>56.25</v>
      </c>
      <c r="Y53">
        <f t="shared" si="2"/>
        <v>76.900000000000006</v>
      </c>
      <c r="Z53">
        <f t="shared" si="3"/>
        <v>62</v>
      </c>
      <c r="AA53">
        <f t="shared" si="4"/>
        <v>6</v>
      </c>
      <c r="AB53">
        <f t="shared" si="5"/>
        <v>307</v>
      </c>
      <c r="AC53" t="str">
        <f t="shared" si="6"/>
        <v>Y</v>
      </c>
      <c r="AD53" t="str">
        <f t="shared" si="7"/>
        <v>W</v>
      </c>
      <c r="AE53">
        <f t="shared" si="8"/>
        <v>1</v>
      </c>
      <c r="AI53" t="s">
        <v>24</v>
      </c>
      <c r="AJ53" t="s">
        <v>25</v>
      </c>
      <c r="AK53">
        <v>6</v>
      </c>
      <c r="AL53">
        <v>6</v>
      </c>
      <c r="AM53">
        <v>82</v>
      </c>
    </row>
    <row r="54" spans="1:39" x14ac:dyDescent="0.25">
      <c r="A54">
        <v>9.1999999999999993</v>
      </c>
      <c r="B54">
        <v>20.399999999999999</v>
      </c>
      <c r="C54">
        <v>17.399999999999999</v>
      </c>
      <c r="D54">
        <v>7.8</v>
      </c>
      <c r="E54">
        <v>10.199999999999999</v>
      </c>
      <c r="F54">
        <v>39</v>
      </c>
      <c r="G54" t="s">
        <v>24</v>
      </c>
      <c r="H54" t="s">
        <v>24</v>
      </c>
      <c r="I54">
        <v>9</v>
      </c>
      <c r="J54">
        <v>20</v>
      </c>
      <c r="K54">
        <v>59</v>
      </c>
      <c r="L54">
        <v>49</v>
      </c>
      <c r="M54">
        <v>1009.5</v>
      </c>
      <c r="N54">
        <v>1009.1</v>
      </c>
      <c r="O54">
        <v>1</v>
      </c>
      <c r="P54">
        <v>18.8</v>
      </c>
      <c r="Q54" t="s">
        <v>20</v>
      </c>
      <c r="S54">
        <v>20</v>
      </c>
      <c r="T54">
        <v>31.77262973063451</v>
      </c>
      <c r="U54">
        <v>5.64</v>
      </c>
      <c r="W54">
        <f t="shared" si="0"/>
        <v>20</v>
      </c>
      <c r="X54">
        <f t="shared" si="1"/>
        <v>34.25</v>
      </c>
      <c r="Y54">
        <f t="shared" si="2"/>
        <v>39.200000000000003</v>
      </c>
      <c r="Z54">
        <f t="shared" si="3"/>
        <v>49</v>
      </c>
      <c r="AA54">
        <f t="shared" si="4"/>
        <v>148</v>
      </c>
      <c r="AB54">
        <f t="shared" si="5"/>
        <v>143</v>
      </c>
      <c r="AC54" t="str">
        <f t="shared" si="6"/>
        <v>Y</v>
      </c>
      <c r="AD54" t="str">
        <f t="shared" si="7"/>
        <v>N</v>
      </c>
      <c r="AE54">
        <f t="shared" si="8"/>
        <v>1</v>
      </c>
      <c r="AI54" t="s">
        <v>26</v>
      </c>
      <c r="AJ54" t="s">
        <v>23</v>
      </c>
      <c r="AK54">
        <v>30</v>
      </c>
      <c r="AL54">
        <v>24</v>
      </c>
      <c r="AM54">
        <v>62</v>
      </c>
    </row>
    <row r="55" spans="1:39" x14ac:dyDescent="0.25">
      <c r="A55">
        <v>12.4</v>
      </c>
      <c r="B55">
        <v>24.4</v>
      </c>
      <c r="C55">
        <v>0</v>
      </c>
      <c r="D55">
        <v>6.2</v>
      </c>
      <c r="E55">
        <v>12.1</v>
      </c>
      <c r="F55">
        <v>44</v>
      </c>
      <c r="G55" t="s">
        <v>33</v>
      </c>
      <c r="H55" t="s">
        <v>26</v>
      </c>
      <c r="I55">
        <v>7</v>
      </c>
      <c r="J55">
        <v>13</v>
      </c>
      <c r="K55">
        <v>69</v>
      </c>
      <c r="L55">
        <v>43</v>
      </c>
      <c r="M55">
        <v>1012.8</v>
      </c>
      <c r="N55">
        <v>1009.7</v>
      </c>
      <c r="O55">
        <v>6</v>
      </c>
      <c r="P55">
        <v>22.5</v>
      </c>
      <c r="Q55" t="s">
        <v>19</v>
      </c>
      <c r="S55">
        <v>24</v>
      </c>
      <c r="T55">
        <v>31.824518849465736</v>
      </c>
      <c r="U55">
        <v>5.64</v>
      </c>
      <c r="W55">
        <f t="shared" si="0"/>
        <v>13</v>
      </c>
      <c r="X55">
        <f t="shared" si="1"/>
        <v>33</v>
      </c>
      <c r="Y55">
        <f t="shared" si="2"/>
        <v>32.1</v>
      </c>
      <c r="Z55">
        <f t="shared" si="3"/>
        <v>43</v>
      </c>
      <c r="AA55">
        <f t="shared" si="4"/>
        <v>99</v>
      </c>
      <c r="AB55">
        <f t="shared" si="5"/>
        <v>202</v>
      </c>
      <c r="AC55" t="str">
        <f t="shared" si="6"/>
        <v>N</v>
      </c>
      <c r="AD55" t="str">
        <f t="shared" si="7"/>
        <v>W</v>
      </c>
      <c r="AE55">
        <f t="shared" si="8"/>
        <v>3</v>
      </c>
      <c r="AI55" t="s">
        <v>27</v>
      </c>
      <c r="AJ55" t="s">
        <v>28</v>
      </c>
      <c r="AK55">
        <v>20</v>
      </c>
      <c r="AL55">
        <v>28</v>
      </c>
      <c r="AM55">
        <v>68</v>
      </c>
    </row>
    <row r="56" spans="1:39" x14ac:dyDescent="0.25">
      <c r="A56">
        <v>11.3</v>
      </c>
      <c r="B56">
        <v>21.7</v>
      </c>
      <c r="C56">
        <v>3.4</v>
      </c>
      <c r="D56">
        <v>8.1999999999999993</v>
      </c>
      <c r="E56">
        <v>5.6</v>
      </c>
      <c r="F56">
        <v>41</v>
      </c>
      <c r="G56" t="s">
        <v>29</v>
      </c>
      <c r="H56" t="s">
        <v>32</v>
      </c>
      <c r="I56">
        <v>11</v>
      </c>
      <c r="J56">
        <v>11</v>
      </c>
      <c r="K56">
        <v>67</v>
      </c>
      <c r="L56">
        <v>52</v>
      </c>
      <c r="M56">
        <v>1020.4</v>
      </c>
      <c r="N56">
        <v>1019.1</v>
      </c>
      <c r="O56">
        <v>8</v>
      </c>
      <c r="P56">
        <v>21</v>
      </c>
      <c r="Q56" t="s">
        <v>20</v>
      </c>
      <c r="S56">
        <v>22</v>
      </c>
      <c r="T56">
        <v>31.943700474428443</v>
      </c>
      <c r="U56">
        <v>5.65</v>
      </c>
      <c r="W56">
        <f t="shared" si="0"/>
        <v>11</v>
      </c>
      <c r="X56">
        <f t="shared" si="1"/>
        <v>35.25</v>
      </c>
      <c r="Y56">
        <f t="shared" si="2"/>
        <v>27.6</v>
      </c>
      <c r="Z56">
        <f t="shared" si="3"/>
        <v>52</v>
      </c>
      <c r="AA56">
        <f t="shared" si="4"/>
        <v>125</v>
      </c>
      <c r="AB56">
        <f t="shared" si="5"/>
        <v>165</v>
      </c>
      <c r="AC56" t="str">
        <f t="shared" si="6"/>
        <v>Y</v>
      </c>
      <c r="AD56" t="str">
        <f t="shared" si="7"/>
        <v>E</v>
      </c>
      <c r="AE56">
        <f t="shared" si="8"/>
        <v>2</v>
      </c>
      <c r="AI56" t="s">
        <v>29</v>
      </c>
      <c r="AJ56" t="s">
        <v>22</v>
      </c>
      <c r="AK56">
        <v>20</v>
      </c>
      <c r="AL56">
        <v>24</v>
      </c>
      <c r="AM56">
        <v>70</v>
      </c>
    </row>
    <row r="57" spans="1:39" x14ac:dyDescent="0.25">
      <c r="A57">
        <v>9.8000000000000007</v>
      </c>
      <c r="B57">
        <v>26.3</v>
      </c>
      <c r="C57">
        <v>0</v>
      </c>
      <c r="D57">
        <v>5.2</v>
      </c>
      <c r="E57">
        <v>13</v>
      </c>
      <c r="F57">
        <v>41</v>
      </c>
      <c r="G57" t="s">
        <v>23</v>
      </c>
      <c r="H57" t="s">
        <v>33</v>
      </c>
      <c r="I57">
        <v>6</v>
      </c>
      <c r="J57">
        <v>19</v>
      </c>
      <c r="K57">
        <v>63</v>
      </c>
      <c r="L57">
        <v>35</v>
      </c>
      <c r="M57">
        <v>1023.2</v>
      </c>
      <c r="N57">
        <v>1018</v>
      </c>
      <c r="O57">
        <v>1</v>
      </c>
      <c r="P57">
        <v>23.9</v>
      </c>
      <c r="Q57" t="s">
        <v>19</v>
      </c>
      <c r="S57">
        <v>26</v>
      </c>
      <c r="T57">
        <v>31.98749755763961</v>
      </c>
      <c r="U57">
        <v>5.66</v>
      </c>
      <c r="W57">
        <f t="shared" si="0"/>
        <v>19</v>
      </c>
      <c r="X57">
        <f t="shared" si="1"/>
        <v>30.75</v>
      </c>
      <c r="Y57">
        <f t="shared" si="2"/>
        <v>38</v>
      </c>
      <c r="Z57">
        <f t="shared" si="3"/>
        <v>35</v>
      </c>
      <c r="AA57">
        <f t="shared" si="4"/>
        <v>125</v>
      </c>
      <c r="AB57">
        <f t="shared" si="5"/>
        <v>165</v>
      </c>
      <c r="AC57" t="str">
        <f t="shared" si="6"/>
        <v>N</v>
      </c>
      <c r="AD57" t="str">
        <f t="shared" si="7"/>
        <v>W</v>
      </c>
      <c r="AE57">
        <f t="shared" si="8"/>
        <v>1</v>
      </c>
      <c r="AI57" t="s">
        <v>29</v>
      </c>
      <c r="AJ57" t="s">
        <v>28</v>
      </c>
      <c r="AK57">
        <v>19</v>
      </c>
      <c r="AL57">
        <v>26</v>
      </c>
      <c r="AM57">
        <v>63</v>
      </c>
    </row>
    <row r="58" spans="1:39" x14ac:dyDescent="0.25">
      <c r="A58">
        <v>14.3</v>
      </c>
      <c r="B58">
        <v>26.7</v>
      </c>
      <c r="C58">
        <v>0</v>
      </c>
      <c r="D58">
        <v>7.2</v>
      </c>
      <c r="E58">
        <v>7.1</v>
      </c>
      <c r="F58">
        <v>65</v>
      </c>
      <c r="G58" t="s">
        <v>24</v>
      </c>
      <c r="H58" t="s">
        <v>33</v>
      </c>
      <c r="I58">
        <v>7</v>
      </c>
      <c r="J58">
        <v>48</v>
      </c>
      <c r="K58">
        <v>68</v>
      </c>
      <c r="L58">
        <v>64</v>
      </c>
      <c r="M58">
        <v>1017.3</v>
      </c>
      <c r="N58">
        <v>1014.3</v>
      </c>
      <c r="O58">
        <v>7</v>
      </c>
      <c r="P58">
        <v>19</v>
      </c>
      <c r="Q58" t="s">
        <v>19</v>
      </c>
      <c r="S58">
        <v>27</v>
      </c>
      <c r="T58">
        <v>31.895140695723541</v>
      </c>
      <c r="U58">
        <v>5.65</v>
      </c>
      <c r="W58">
        <f t="shared" si="0"/>
        <v>48</v>
      </c>
      <c r="X58">
        <f t="shared" si="1"/>
        <v>46.75</v>
      </c>
      <c r="Y58">
        <f t="shared" si="2"/>
        <v>62.1</v>
      </c>
      <c r="Z58">
        <f t="shared" si="3"/>
        <v>64</v>
      </c>
      <c r="AA58">
        <f t="shared" si="4"/>
        <v>13</v>
      </c>
      <c r="AB58">
        <f t="shared" si="5"/>
        <v>291</v>
      </c>
      <c r="AC58" t="str">
        <f t="shared" si="6"/>
        <v>N</v>
      </c>
      <c r="AD58" t="str">
        <f t="shared" si="7"/>
        <v>W</v>
      </c>
      <c r="AE58">
        <f t="shared" si="8"/>
        <v>1</v>
      </c>
      <c r="AI58" t="s">
        <v>29</v>
      </c>
      <c r="AJ58" t="s">
        <v>22</v>
      </c>
      <c r="AK58">
        <v>11</v>
      </c>
      <c r="AL58">
        <v>24</v>
      </c>
      <c r="AM58">
        <v>65</v>
      </c>
    </row>
    <row r="59" spans="1:39" x14ac:dyDescent="0.25">
      <c r="A59">
        <v>15.1</v>
      </c>
      <c r="B59">
        <v>28.3</v>
      </c>
      <c r="C59">
        <v>14.4</v>
      </c>
      <c r="D59">
        <v>8.8000000000000007</v>
      </c>
      <c r="E59">
        <v>13.2</v>
      </c>
      <c r="F59">
        <v>28</v>
      </c>
      <c r="G59" t="s">
        <v>33</v>
      </c>
      <c r="H59" t="s">
        <v>17</v>
      </c>
      <c r="I59">
        <v>6</v>
      </c>
      <c r="J59">
        <v>13</v>
      </c>
      <c r="K59">
        <v>73</v>
      </c>
      <c r="L59">
        <v>44</v>
      </c>
      <c r="M59">
        <v>1016.8</v>
      </c>
      <c r="N59">
        <v>1013.4</v>
      </c>
      <c r="O59">
        <v>1</v>
      </c>
      <c r="P59">
        <v>27.4</v>
      </c>
      <c r="Q59" t="s">
        <v>20</v>
      </c>
      <c r="S59">
        <v>28</v>
      </c>
      <c r="T59">
        <v>31.887301547794852</v>
      </c>
      <c r="U59">
        <v>5.65</v>
      </c>
      <c r="W59">
        <f t="shared" si="0"/>
        <v>13</v>
      </c>
      <c r="X59">
        <f t="shared" si="1"/>
        <v>34</v>
      </c>
      <c r="Y59">
        <f t="shared" si="2"/>
        <v>32.200000000000003</v>
      </c>
      <c r="Z59">
        <f t="shared" si="3"/>
        <v>44</v>
      </c>
      <c r="AA59">
        <f t="shared" si="4"/>
        <v>250</v>
      </c>
      <c r="AB59">
        <f t="shared" si="5"/>
        <v>45</v>
      </c>
      <c r="AC59" t="str">
        <f t="shared" si="6"/>
        <v>Y</v>
      </c>
      <c r="AD59" t="str">
        <f t="shared" si="7"/>
        <v>W</v>
      </c>
      <c r="AE59">
        <f t="shared" si="8"/>
        <v>3</v>
      </c>
      <c r="AI59" t="s">
        <v>22</v>
      </c>
      <c r="AJ59" t="s">
        <v>21</v>
      </c>
      <c r="AK59">
        <v>19</v>
      </c>
      <c r="AL59">
        <v>17</v>
      </c>
      <c r="AM59">
        <v>70</v>
      </c>
    </row>
    <row r="60" spans="1:39" x14ac:dyDescent="0.25">
      <c r="A60">
        <v>14.4</v>
      </c>
      <c r="B60">
        <v>31.6</v>
      </c>
      <c r="C60">
        <v>0</v>
      </c>
      <c r="D60">
        <v>6.6</v>
      </c>
      <c r="E60">
        <v>13.6</v>
      </c>
      <c r="F60">
        <v>30</v>
      </c>
      <c r="G60" t="s">
        <v>17</v>
      </c>
      <c r="H60" t="s">
        <v>24</v>
      </c>
      <c r="I60">
        <v>6</v>
      </c>
      <c r="J60">
        <v>7</v>
      </c>
      <c r="K60">
        <v>65</v>
      </c>
      <c r="L60">
        <v>30</v>
      </c>
      <c r="M60">
        <v>1017.1</v>
      </c>
      <c r="N60">
        <v>1014.2</v>
      </c>
      <c r="O60">
        <v>0</v>
      </c>
      <c r="P60">
        <v>30.3</v>
      </c>
      <c r="Q60" t="s">
        <v>19</v>
      </c>
      <c r="S60">
        <v>32</v>
      </c>
      <c r="T60">
        <v>31.89200526777832</v>
      </c>
      <c r="U60">
        <v>5.65</v>
      </c>
      <c r="W60">
        <f t="shared" si="0"/>
        <v>7</v>
      </c>
      <c r="X60">
        <f t="shared" si="1"/>
        <v>27</v>
      </c>
      <c r="Y60">
        <f t="shared" si="2"/>
        <v>26.6</v>
      </c>
      <c r="Z60">
        <f t="shared" si="3"/>
        <v>30</v>
      </c>
      <c r="AA60">
        <f t="shared" si="4"/>
        <v>232</v>
      </c>
      <c r="AB60">
        <f t="shared" si="5"/>
        <v>58</v>
      </c>
      <c r="AC60" t="str">
        <f t="shared" si="6"/>
        <v>N</v>
      </c>
      <c r="AD60" t="str">
        <f t="shared" si="7"/>
        <v>N</v>
      </c>
      <c r="AE60">
        <f t="shared" si="8"/>
        <v>2</v>
      </c>
      <c r="AI60" t="s">
        <v>30</v>
      </c>
      <c r="AJ60" t="s">
        <v>28</v>
      </c>
      <c r="AK60">
        <v>7</v>
      </c>
      <c r="AL60">
        <v>6</v>
      </c>
      <c r="AM60">
        <v>82</v>
      </c>
    </row>
    <row r="61" spans="1:39" x14ac:dyDescent="0.25">
      <c r="A61">
        <v>15.4</v>
      </c>
      <c r="B61">
        <v>35</v>
      </c>
      <c r="C61">
        <v>0</v>
      </c>
      <c r="D61">
        <v>9.6</v>
      </c>
      <c r="E61">
        <v>13</v>
      </c>
      <c r="F61">
        <v>39</v>
      </c>
      <c r="G61" t="s">
        <v>34</v>
      </c>
      <c r="H61" t="s">
        <v>28</v>
      </c>
      <c r="I61">
        <v>6</v>
      </c>
      <c r="J61">
        <v>22</v>
      </c>
      <c r="K61">
        <v>55</v>
      </c>
      <c r="L61">
        <v>18</v>
      </c>
      <c r="M61">
        <v>1017.4</v>
      </c>
      <c r="N61">
        <v>1015</v>
      </c>
      <c r="O61">
        <v>1</v>
      </c>
      <c r="P61">
        <v>34.299999999999997</v>
      </c>
      <c r="Q61" t="s">
        <v>19</v>
      </c>
      <c r="S61">
        <v>35</v>
      </c>
      <c r="T61">
        <v>31.896708294117122</v>
      </c>
      <c r="U61">
        <v>5.65</v>
      </c>
      <c r="W61">
        <f t="shared" si="0"/>
        <v>22</v>
      </c>
      <c r="X61">
        <f t="shared" si="1"/>
        <v>25.25</v>
      </c>
      <c r="Y61">
        <f t="shared" si="2"/>
        <v>41</v>
      </c>
      <c r="Z61">
        <f t="shared" si="3"/>
        <v>18</v>
      </c>
      <c r="AA61">
        <f t="shared" si="4"/>
        <v>144</v>
      </c>
      <c r="AB61">
        <f t="shared" si="5"/>
        <v>141</v>
      </c>
      <c r="AC61" t="str">
        <f t="shared" si="6"/>
        <v>N</v>
      </c>
      <c r="AD61" t="str">
        <f t="shared" si="7"/>
        <v>E</v>
      </c>
      <c r="AE61">
        <f t="shared" si="8"/>
        <v>3</v>
      </c>
      <c r="AI61" t="s">
        <v>29</v>
      </c>
      <c r="AJ61" t="s">
        <v>17</v>
      </c>
      <c r="AK61">
        <v>6</v>
      </c>
      <c r="AL61">
        <v>9</v>
      </c>
      <c r="AM61">
        <v>74</v>
      </c>
    </row>
    <row r="62" spans="1:39" x14ac:dyDescent="0.25">
      <c r="A62">
        <v>13.8</v>
      </c>
      <c r="B62">
        <v>33.5</v>
      </c>
      <c r="C62">
        <v>0</v>
      </c>
      <c r="D62">
        <v>11.4</v>
      </c>
      <c r="E62">
        <v>13.6</v>
      </c>
      <c r="F62">
        <v>31</v>
      </c>
      <c r="G62" t="s">
        <v>27</v>
      </c>
      <c r="H62" t="s">
        <v>32</v>
      </c>
      <c r="I62">
        <v>7</v>
      </c>
      <c r="J62">
        <v>9</v>
      </c>
      <c r="K62">
        <v>44</v>
      </c>
      <c r="L62">
        <v>20</v>
      </c>
      <c r="M62">
        <v>1019.2</v>
      </c>
      <c r="N62">
        <v>1015.6</v>
      </c>
      <c r="O62">
        <v>0</v>
      </c>
      <c r="P62">
        <v>32.200000000000003</v>
      </c>
      <c r="Q62" t="s">
        <v>19</v>
      </c>
      <c r="S62">
        <v>34</v>
      </c>
      <c r="T62">
        <v>31.924911902775865</v>
      </c>
      <c r="U62">
        <v>5.65</v>
      </c>
      <c r="W62">
        <f t="shared" si="0"/>
        <v>9</v>
      </c>
      <c r="X62">
        <f t="shared" si="1"/>
        <v>20</v>
      </c>
      <c r="Y62">
        <f t="shared" si="2"/>
        <v>29.6</v>
      </c>
      <c r="Z62">
        <f t="shared" si="3"/>
        <v>20</v>
      </c>
      <c r="AA62">
        <f t="shared" si="4"/>
        <v>203</v>
      </c>
      <c r="AB62">
        <f t="shared" si="5"/>
        <v>75</v>
      </c>
      <c r="AC62" t="str">
        <f t="shared" si="6"/>
        <v>N</v>
      </c>
      <c r="AD62" t="str">
        <f t="shared" si="7"/>
        <v>E</v>
      </c>
      <c r="AE62">
        <f t="shared" si="8"/>
        <v>3</v>
      </c>
      <c r="AI62" t="s">
        <v>22</v>
      </c>
      <c r="AJ62" t="s">
        <v>17</v>
      </c>
      <c r="AK62">
        <v>2</v>
      </c>
      <c r="AL62">
        <v>15</v>
      </c>
      <c r="AM62">
        <v>54</v>
      </c>
    </row>
    <row r="63" spans="1:39" x14ac:dyDescent="0.25">
      <c r="A63">
        <v>13.6</v>
      </c>
      <c r="B63">
        <v>34.200000000000003</v>
      </c>
      <c r="C63">
        <v>0</v>
      </c>
      <c r="D63">
        <v>8.8000000000000007</v>
      </c>
      <c r="E63">
        <v>12.8</v>
      </c>
      <c r="F63">
        <v>35</v>
      </c>
      <c r="G63" t="s">
        <v>28</v>
      </c>
      <c r="H63" t="s">
        <v>23</v>
      </c>
      <c r="I63">
        <v>2</v>
      </c>
      <c r="J63">
        <v>11</v>
      </c>
      <c r="K63">
        <v>50</v>
      </c>
      <c r="L63">
        <v>20</v>
      </c>
      <c r="M63">
        <v>1015.8</v>
      </c>
      <c r="N63">
        <v>1011.6</v>
      </c>
      <c r="O63">
        <v>7</v>
      </c>
      <c r="P63">
        <v>31.8</v>
      </c>
      <c r="Q63" t="s">
        <v>19</v>
      </c>
      <c r="S63">
        <v>34</v>
      </c>
      <c r="T63">
        <v>31.871617467583913</v>
      </c>
      <c r="U63">
        <v>5.65</v>
      </c>
      <c r="W63">
        <f t="shared" si="0"/>
        <v>11</v>
      </c>
      <c r="X63">
        <f t="shared" si="1"/>
        <v>20.75</v>
      </c>
      <c r="Y63">
        <f t="shared" si="2"/>
        <v>25.8</v>
      </c>
      <c r="Z63">
        <f t="shared" si="3"/>
        <v>20</v>
      </c>
      <c r="AA63">
        <f t="shared" si="4"/>
        <v>165</v>
      </c>
      <c r="AB63">
        <f t="shared" si="5"/>
        <v>119</v>
      </c>
      <c r="AC63" t="str">
        <f t="shared" si="6"/>
        <v>N</v>
      </c>
      <c r="AD63" t="str">
        <f t="shared" si="7"/>
        <v>W</v>
      </c>
      <c r="AE63">
        <f t="shared" si="8"/>
        <v>3</v>
      </c>
      <c r="AI63" t="s">
        <v>30</v>
      </c>
      <c r="AJ63" t="s">
        <v>17</v>
      </c>
      <c r="AK63">
        <v>6</v>
      </c>
      <c r="AL63">
        <v>7</v>
      </c>
      <c r="AM63">
        <v>62</v>
      </c>
    </row>
    <row r="64" spans="1:39" x14ac:dyDescent="0.25">
      <c r="A64">
        <v>14.3</v>
      </c>
      <c r="B64">
        <v>35</v>
      </c>
      <c r="C64">
        <v>0</v>
      </c>
      <c r="D64">
        <v>7.6</v>
      </c>
      <c r="E64">
        <v>10.5</v>
      </c>
      <c r="F64">
        <v>41</v>
      </c>
      <c r="G64" t="s">
        <v>28</v>
      </c>
      <c r="H64" t="s">
        <v>31</v>
      </c>
      <c r="I64">
        <v>2</v>
      </c>
      <c r="J64">
        <v>9</v>
      </c>
      <c r="K64">
        <v>43</v>
      </c>
      <c r="L64">
        <v>14</v>
      </c>
      <c r="M64">
        <v>1012.6</v>
      </c>
      <c r="N64">
        <v>1008.7</v>
      </c>
      <c r="O64">
        <v>0</v>
      </c>
      <c r="P64">
        <v>33.6</v>
      </c>
      <c r="Q64" t="s">
        <v>19</v>
      </c>
      <c r="S64">
        <v>35</v>
      </c>
      <c r="T64">
        <v>31.821376463000465</v>
      </c>
      <c r="U64">
        <v>5.64</v>
      </c>
      <c r="W64">
        <f t="shared" si="0"/>
        <v>9</v>
      </c>
      <c r="X64">
        <f t="shared" si="1"/>
        <v>17</v>
      </c>
      <c r="Y64">
        <f t="shared" si="2"/>
        <v>21.5</v>
      </c>
      <c r="Z64">
        <f t="shared" si="3"/>
        <v>14</v>
      </c>
      <c r="AA64">
        <f t="shared" si="4"/>
        <v>124</v>
      </c>
      <c r="AB64">
        <f t="shared" si="5"/>
        <v>160</v>
      </c>
      <c r="AC64" t="str">
        <f t="shared" si="6"/>
        <v>N</v>
      </c>
      <c r="AD64" t="str">
        <f t="shared" si="7"/>
        <v>W</v>
      </c>
      <c r="AE64">
        <f t="shared" si="8"/>
        <v>3</v>
      </c>
      <c r="AI64" t="s">
        <v>26</v>
      </c>
      <c r="AJ64" t="s">
        <v>23</v>
      </c>
      <c r="AK64">
        <v>7</v>
      </c>
      <c r="AL64">
        <v>20</v>
      </c>
      <c r="AM64">
        <v>67</v>
      </c>
    </row>
    <row r="65" spans="1:44" x14ac:dyDescent="0.25">
      <c r="A65">
        <v>15.9</v>
      </c>
      <c r="B65">
        <v>23.4</v>
      </c>
      <c r="C65">
        <v>0</v>
      </c>
      <c r="D65">
        <v>12.6</v>
      </c>
      <c r="E65">
        <v>2.2000000000000002</v>
      </c>
      <c r="F65">
        <v>50</v>
      </c>
      <c r="G65" t="s">
        <v>28</v>
      </c>
      <c r="H65" t="s">
        <v>28</v>
      </c>
      <c r="I65">
        <v>20</v>
      </c>
      <c r="J65">
        <v>24</v>
      </c>
      <c r="K65">
        <v>69</v>
      </c>
      <c r="L65">
        <v>55</v>
      </c>
      <c r="M65">
        <v>1016.8</v>
      </c>
      <c r="N65">
        <v>1016.3</v>
      </c>
      <c r="O65">
        <v>8</v>
      </c>
      <c r="P65">
        <v>22.3</v>
      </c>
      <c r="Q65" t="s">
        <v>19</v>
      </c>
      <c r="S65">
        <v>23</v>
      </c>
      <c r="T65">
        <v>31.887301547794852</v>
      </c>
      <c r="U65">
        <v>5.65</v>
      </c>
      <c r="W65">
        <f t="shared" si="0"/>
        <v>24</v>
      </c>
      <c r="X65">
        <f t="shared" si="1"/>
        <v>42</v>
      </c>
      <c r="Y65">
        <f t="shared" si="2"/>
        <v>46.2</v>
      </c>
      <c r="Z65">
        <f t="shared" si="3"/>
        <v>55</v>
      </c>
      <c r="AA65">
        <f t="shared" si="4"/>
        <v>47</v>
      </c>
      <c r="AB65">
        <f t="shared" si="5"/>
        <v>243</v>
      </c>
      <c r="AC65" t="str">
        <f t="shared" si="6"/>
        <v>N</v>
      </c>
      <c r="AD65" t="str">
        <f t="shared" si="7"/>
        <v>E</v>
      </c>
      <c r="AE65">
        <f t="shared" si="8"/>
        <v>3</v>
      </c>
      <c r="AI65" t="s">
        <v>30</v>
      </c>
      <c r="AJ65" t="s">
        <v>23</v>
      </c>
      <c r="AK65">
        <v>6</v>
      </c>
      <c r="AL65">
        <v>20</v>
      </c>
      <c r="AM65">
        <v>45</v>
      </c>
    </row>
    <row r="66" spans="1:44" x14ac:dyDescent="0.25">
      <c r="A66">
        <v>16.7</v>
      </c>
      <c r="B66">
        <v>25.3</v>
      </c>
      <c r="C66">
        <v>0</v>
      </c>
      <c r="D66">
        <v>6.2</v>
      </c>
      <c r="E66">
        <v>12.5</v>
      </c>
      <c r="F66">
        <v>46</v>
      </c>
      <c r="G66" t="s">
        <v>28</v>
      </c>
      <c r="H66" t="s">
        <v>28</v>
      </c>
      <c r="I66">
        <v>24</v>
      </c>
      <c r="J66">
        <v>26</v>
      </c>
      <c r="K66">
        <v>56</v>
      </c>
      <c r="L66">
        <v>45</v>
      </c>
      <c r="M66">
        <v>1016.2</v>
      </c>
      <c r="N66">
        <v>1013</v>
      </c>
      <c r="O66">
        <v>6</v>
      </c>
      <c r="P66">
        <v>23.9</v>
      </c>
      <c r="Q66" t="s">
        <v>19</v>
      </c>
      <c r="S66">
        <v>25</v>
      </c>
      <c r="T66">
        <v>31.877892025665687</v>
      </c>
      <c r="U66">
        <v>5.65</v>
      </c>
      <c r="W66">
        <f t="shared" ref="W66:W129" si="9">MAX(I66:J66)</f>
        <v>26</v>
      </c>
      <c r="X66">
        <f t="shared" ref="X66:X129" si="10">AVERAGE(I66:J66,K66:L66)</f>
        <v>37.75</v>
      </c>
      <c r="Y66">
        <f t="shared" ref="Y66:Y129" si="11">SUM(I66,E66,J66)</f>
        <v>62.5</v>
      </c>
      <c r="Z66">
        <f t="shared" ref="Z66:Z129" si="12">MEDIAN(D66,L66,K66)</f>
        <v>45</v>
      </c>
      <c r="AA66">
        <f t="shared" ref="AA66:AA129" si="13">RANK(F66,F66:F431,0)</f>
        <v>75</v>
      </c>
      <c r="AB66">
        <f t="shared" ref="AB66:AB129" si="14">RANK(F66,F66:F431,1)</f>
        <v>205</v>
      </c>
      <c r="AC66" t="str">
        <f t="shared" ref="AC66:AC129" si="15">LEFT(Q66,1)</f>
        <v>N</v>
      </c>
      <c r="AD66" t="str">
        <f t="shared" ref="AD66:AD129" si="16">RIGHT(H66,1)</f>
        <v>E</v>
      </c>
      <c r="AE66">
        <f t="shared" ref="AE66:AE129" si="17">LEN(G66)</f>
        <v>3</v>
      </c>
      <c r="AI66" t="s">
        <v>29</v>
      </c>
      <c r="AJ66" t="s">
        <v>31</v>
      </c>
      <c r="AK66">
        <v>7</v>
      </c>
      <c r="AL66">
        <v>9</v>
      </c>
      <c r="AM66">
        <v>70</v>
      </c>
    </row>
    <row r="67" spans="1:44" x14ac:dyDescent="0.25">
      <c r="A67">
        <v>12.1</v>
      </c>
      <c r="B67">
        <v>27.5</v>
      </c>
      <c r="C67">
        <v>0</v>
      </c>
      <c r="D67">
        <v>7.4</v>
      </c>
      <c r="E67">
        <v>11.7</v>
      </c>
      <c r="F67">
        <v>35</v>
      </c>
      <c r="G67" t="s">
        <v>27</v>
      </c>
      <c r="H67" t="s">
        <v>22</v>
      </c>
      <c r="I67">
        <v>7</v>
      </c>
      <c r="J67">
        <v>15</v>
      </c>
      <c r="K67">
        <v>69</v>
      </c>
      <c r="L67">
        <v>40</v>
      </c>
      <c r="M67">
        <v>1011.8</v>
      </c>
      <c r="N67">
        <v>1007.4</v>
      </c>
      <c r="O67">
        <v>7</v>
      </c>
      <c r="P67">
        <v>26.8</v>
      </c>
      <c r="Q67" t="s">
        <v>19</v>
      </c>
      <c r="S67">
        <v>28</v>
      </c>
      <c r="T67">
        <v>31.808803812781139</v>
      </c>
      <c r="U67">
        <v>5.64</v>
      </c>
      <c r="W67">
        <f t="shared" si="9"/>
        <v>15</v>
      </c>
      <c r="X67">
        <f t="shared" si="10"/>
        <v>32.75</v>
      </c>
      <c r="Y67">
        <f t="shared" si="11"/>
        <v>33.700000000000003</v>
      </c>
      <c r="Z67">
        <f t="shared" si="12"/>
        <v>40</v>
      </c>
      <c r="AA67">
        <f t="shared" si="13"/>
        <v>162</v>
      </c>
      <c r="AB67">
        <f t="shared" si="14"/>
        <v>119</v>
      </c>
      <c r="AC67" t="str">
        <f t="shared" si="15"/>
        <v>N</v>
      </c>
      <c r="AD67" t="str">
        <f t="shared" si="16"/>
        <v>E</v>
      </c>
      <c r="AE67">
        <f t="shared" si="17"/>
        <v>3</v>
      </c>
    </row>
    <row r="68" spans="1:44" x14ac:dyDescent="0.25">
      <c r="A68">
        <v>14.3</v>
      </c>
      <c r="B68">
        <v>34.1</v>
      </c>
      <c r="C68">
        <v>0</v>
      </c>
      <c r="D68">
        <v>6.6</v>
      </c>
      <c r="E68">
        <v>10.5</v>
      </c>
      <c r="F68">
        <v>39</v>
      </c>
      <c r="G68" t="s">
        <v>23</v>
      </c>
      <c r="H68" t="s">
        <v>33</v>
      </c>
      <c r="I68">
        <v>6</v>
      </c>
      <c r="J68">
        <v>19</v>
      </c>
      <c r="K68">
        <v>77</v>
      </c>
      <c r="L68">
        <v>34</v>
      </c>
      <c r="M68">
        <v>1006.6</v>
      </c>
      <c r="N68">
        <v>1003.3</v>
      </c>
      <c r="O68">
        <v>1</v>
      </c>
      <c r="P68">
        <v>31.9</v>
      </c>
      <c r="Q68" t="s">
        <v>19</v>
      </c>
      <c r="S68">
        <v>34</v>
      </c>
      <c r="T68">
        <v>31.72696014433151</v>
      </c>
      <c r="U68">
        <v>5.63</v>
      </c>
      <c r="W68">
        <f t="shared" si="9"/>
        <v>19</v>
      </c>
      <c r="X68">
        <f t="shared" si="10"/>
        <v>34</v>
      </c>
      <c r="Y68">
        <f t="shared" si="11"/>
        <v>35.5</v>
      </c>
      <c r="Z68">
        <f t="shared" si="12"/>
        <v>34</v>
      </c>
      <c r="AA68">
        <f t="shared" si="13"/>
        <v>141</v>
      </c>
      <c r="AB68">
        <f t="shared" si="14"/>
        <v>138</v>
      </c>
      <c r="AC68" t="str">
        <f t="shared" si="15"/>
        <v>N</v>
      </c>
      <c r="AD68" t="str">
        <f t="shared" si="16"/>
        <v>W</v>
      </c>
      <c r="AE68">
        <f t="shared" si="17"/>
        <v>1</v>
      </c>
    </row>
    <row r="69" spans="1:44" x14ac:dyDescent="0.25">
      <c r="A69">
        <v>16.5</v>
      </c>
      <c r="B69">
        <v>33.9</v>
      </c>
      <c r="C69">
        <v>0</v>
      </c>
      <c r="D69">
        <v>9</v>
      </c>
      <c r="E69">
        <v>12.6</v>
      </c>
      <c r="F69">
        <v>39</v>
      </c>
      <c r="G69" t="s">
        <v>22</v>
      </c>
      <c r="H69" t="s">
        <v>17</v>
      </c>
      <c r="I69">
        <v>11</v>
      </c>
      <c r="J69">
        <v>11</v>
      </c>
      <c r="K69">
        <v>60</v>
      </c>
      <c r="L69">
        <v>36</v>
      </c>
      <c r="M69">
        <v>1012.3</v>
      </c>
      <c r="N69">
        <v>1009.5</v>
      </c>
      <c r="O69">
        <v>1</v>
      </c>
      <c r="P69">
        <v>31.3</v>
      </c>
      <c r="Q69" t="s">
        <v>19</v>
      </c>
      <c r="S69">
        <v>34</v>
      </c>
      <c r="T69">
        <v>31.816662301379132</v>
      </c>
      <c r="U69">
        <v>5.64</v>
      </c>
      <c r="W69">
        <f t="shared" si="9"/>
        <v>11</v>
      </c>
      <c r="X69">
        <f t="shared" si="10"/>
        <v>29.5</v>
      </c>
      <c r="Y69">
        <f t="shared" si="11"/>
        <v>34.6</v>
      </c>
      <c r="Z69">
        <f t="shared" si="12"/>
        <v>36</v>
      </c>
      <c r="AA69">
        <f t="shared" si="13"/>
        <v>141</v>
      </c>
      <c r="AB69">
        <f t="shared" si="14"/>
        <v>138</v>
      </c>
      <c r="AC69" t="str">
        <f t="shared" si="15"/>
        <v>N</v>
      </c>
      <c r="AD69" t="str">
        <f t="shared" si="16"/>
        <v>W</v>
      </c>
      <c r="AE69">
        <f t="shared" si="17"/>
        <v>1</v>
      </c>
      <c r="AI69" s="3" t="s">
        <v>91</v>
      </c>
      <c r="AK69" s="3" t="s">
        <v>93</v>
      </c>
      <c r="AM69" s="3" t="s">
        <v>94</v>
      </c>
    </row>
    <row r="70" spans="1:44" x14ac:dyDescent="0.25">
      <c r="A70">
        <v>16.5</v>
      </c>
      <c r="B70">
        <v>30.3</v>
      </c>
      <c r="C70">
        <v>0</v>
      </c>
      <c r="D70">
        <v>10</v>
      </c>
      <c r="E70">
        <v>8.1</v>
      </c>
      <c r="F70">
        <v>46</v>
      </c>
      <c r="G70" t="s">
        <v>22</v>
      </c>
      <c r="H70" t="s">
        <v>24</v>
      </c>
      <c r="I70">
        <v>7</v>
      </c>
      <c r="J70">
        <v>9</v>
      </c>
      <c r="K70">
        <v>77</v>
      </c>
      <c r="L70">
        <v>44</v>
      </c>
      <c r="M70">
        <v>1015.7</v>
      </c>
      <c r="N70">
        <v>1013.4</v>
      </c>
      <c r="O70">
        <v>7</v>
      </c>
      <c r="P70">
        <v>28</v>
      </c>
      <c r="Q70" t="s">
        <v>19</v>
      </c>
      <c r="S70">
        <v>30</v>
      </c>
      <c r="T70">
        <v>31.870048635042902</v>
      </c>
      <c r="U70">
        <v>5.65</v>
      </c>
      <c r="W70">
        <f t="shared" si="9"/>
        <v>9</v>
      </c>
      <c r="X70">
        <f t="shared" si="10"/>
        <v>34.25</v>
      </c>
      <c r="Y70">
        <f t="shared" si="11"/>
        <v>24.1</v>
      </c>
      <c r="Z70">
        <f t="shared" si="12"/>
        <v>44</v>
      </c>
      <c r="AA70">
        <f t="shared" si="13"/>
        <v>75</v>
      </c>
      <c r="AB70">
        <f t="shared" si="14"/>
        <v>202</v>
      </c>
      <c r="AC70" t="str">
        <f t="shared" si="15"/>
        <v>N</v>
      </c>
      <c r="AD70" t="str">
        <f t="shared" si="16"/>
        <v>N</v>
      </c>
      <c r="AE70">
        <f t="shared" si="17"/>
        <v>1</v>
      </c>
      <c r="AH70" t="s">
        <v>26</v>
      </c>
      <c r="AI70">
        <f>VLOOKUP("WNW",AI55:AL66,4,FALSE)</f>
        <v>20</v>
      </c>
      <c r="AK70">
        <f>INDEX(AI51:AL66,2,4)</f>
        <v>17</v>
      </c>
      <c r="AL70" s="9" t="s">
        <v>23</v>
      </c>
      <c r="AM70">
        <f>MATCH("W",AJ51:AJ66,FALSE)</f>
        <v>2</v>
      </c>
    </row>
    <row r="71" spans="1:44" x14ac:dyDescent="0.25">
      <c r="A71">
        <v>17.5</v>
      </c>
      <c r="B71">
        <v>29.9</v>
      </c>
      <c r="C71">
        <v>0</v>
      </c>
      <c r="D71">
        <v>6.6</v>
      </c>
      <c r="E71">
        <v>8.8000000000000007</v>
      </c>
      <c r="F71">
        <v>43</v>
      </c>
      <c r="G71" t="s">
        <v>22</v>
      </c>
      <c r="H71" t="s">
        <v>21</v>
      </c>
      <c r="I71">
        <v>13</v>
      </c>
      <c r="J71">
        <v>11</v>
      </c>
      <c r="K71">
        <v>74</v>
      </c>
      <c r="L71">
        <v>45</v>
      </c>
      <c r="M71">
        <v>1018.5</v>
      </c>
      <c r="N71">
        <v>1015.9</v>
      </c>
      <c r="O71">
        <v>8</v>
      </c>
      <c r="P71">
        <v>27.9</v>
      </c>
      <c r="Q71" t="s">
        <v>19</v>
      </c>
      <c r="S71">
        <v>30</v>
      </c>
      <c r="T71">
        <v>31.913946794465897</v>
      </c>
      <c r="U71">
        <v>5.65</v>
      </c>
      <c r="W71">
        <f t="shared" si="9"/>
        <v>13</v>
      </c>
      <c r="X71">
        <f t="shared" si="10"/>
        <v>35.75</v>
      </c>
      <c r="Y71">
        <f t="shared" si="11"/>
        <v>32.799999999999997</v>
      </c>
      <c r="Z71">
        <f t="shared" si="12"/>
        <v>45</v>
      </c>
      <c r="AA71">
        <f t="shared" si="13"/>
        <v>106</v>
      </c>
      <c r="AB71">
        <f t="shared" si="14"/>
        <v>176</v>
      </c>
      <c r="AC71" t="str">
        <f t="shared" si="15"/>
        <v>N</v>
      </c>
      <c r="AD71" t="str">
        <f t="shared" si="16"/>
        <v>E</v>
      </c>
      <c r="AE71">
        <f t="shared" si="17"/>
        <v>1</v>
      </c>
      <c r="AH71" t="s">
        <v>17</v>
      </c>
      <c r="AI71">
        <f>VLOOKUP("NW",AJ51:AM66,4,TRUE)</f>
        <v>62</v>
      </c>
    </row>
    <row r="72" spans="1:44" x14ac:dyDescent="0.25">
      <c r="A72">
        <v>14.7</v>
      </c>
      <c r="B72">
        <v>34.200000000000003</v>
      </c>
      <c r="C72">
        <v>0</v>
      </c>
      <c r="D72">
        <v>6.6</v>
      </c>
      <c r="E72">
        <v>12.8</v>
      </c>
      <c r="F72">
        <v>33</v>
      </c>
      <c r="G72" t="s">
        <v>26</v>
      </c>
      <c r="H72" t="s">
        <v>17</v>
      </c>
      <c r="I72">
        <v>6</v>
      </c>
      <c r="J72">
        <v>11</v>
      </c>
      <c r="K72">
        <v>64</v>
      </c>
      <c r="L72">
        <v>25</v>
      </c>
      <c r="M72">
        <v>1017.8</v>
      </c>
      <c r="N72">
        <v>1013.3</v>
      </c>
      <c r="O72">
        <v>1</v>
      </c>
      <c r="P72">
        <v>32.200000000000003</v>
      </c>
      <c r="Q72" t="s">
        <v>19</v>
      </c>
      <c r="S72">
        <v>34</v>
      </c>
      <c r="T72">
        <v>31.902977917429588</v>
      </c>
      <c r="U72">
        <v>5.65</v>
      </c>
      <c r="W72">
        <f t="shared" si="9"/>
        <v>11</v>
      </c>
      <c r="X72">
        <f t="shared" si="10"/>
        <v>26.5</v>
      </c>
      <c r="Y72">
        <f t="shared" si="11"/>
        <v>29.8</v>
      </c>
      <c r="Z72">
        <f t="shared" si="12"/>
        <v>25</v>
      </c>
      <c r="AA72">
        <f t="shared" si="13"/>
        <v>177</v>
      </c>
      <c r="AB72">
        <f t="shared" si="14"/>
        <v>102</v>
      </c>
      <c r="AC72" t="str">
        <f t="shared" si="15"/>
        <v>N</v>
      </c>
      <c r="AD72" t="str">
        <f t="shared" si="16"/>
        <v>W</v>
      </c>
      <c r="AE72">
        <f t="shared" si="17"/>
        <v>3</v>
      </c>
    </row>
    <row r="73" spans="1:44" x14ac:dyDescent="0.25">
      <c r="A73">
        <v>17.5</v>
      </c>
      <c r="B73">
        <v>35.799999999999997</v>
      </c>
      <c r="C73">
        <v>0</v>
      </c>
      <c r="D73">
        <v>9.4</v>
      </c>
      <c r="E73">
        <v>13.3</v>
      </c>
      <c r="F73">
        <v>57</v>
      </c>
      <c r="G73" t="s">
        <v>33</v>
      </c>
      <c r="H73" t="s">
        <v>17</v>
      </c>
      <c r="I73">
        <v>6</v>
      </c>
      <c r="J73">
        <v>19</v>
      </c>
      <c r="K73">
        <v>56</v>
      </c>
      <c r="L73">
        <v>24</v>
      </c>
      <c r="M73">
        <v>1011.8</v>
      </c>
      <c r="N73">
        <v>1006.5</v>
      </c>
      <c r="O73">
        <v>0</v>
      </c>
      <c r="P73">
        <v>34.5</v>
      </c>
      <c r="Q73" t="s">
        <v>19</v>
      </c>
      <c r="S73">
        <v>36</v>
      </c>
      <c r="T73">
        <v>31.808803812781139</v>
      </c>
      <c r="U73">
        <v>5.64</v>
      </c>
      <c r="W73">
        <f t="shared" si="9"/>
        <v>19</v>
      </c>
      <c r="X73">
        <f t="shared" si="10"/>
        <v>26.25</v>
      </c>
      <c r="Y73">
        <f t="shared" si="11"/>
        <v>38.299999999999997</v>
      </c>
      <c r="Z73">
        <f t="shared" si="12"/>
        <v>24</v>
      </c>
      <c r="AA73">
        <f t="shared" si="13"/>
        <v>30</v>
      </c>
      <c r="AB73">
        <f t="shared" si="14"/>
        <v>259</v>
      </c>
      <c r="AC73" t="str">
        <f t="shared" si="15"/>
        <v>N</v>
      </c>
      <c r="AD73" t="str">
        <f t="shared" si="16"/>
        <v>W</v>
      </c>
      <c r="AE73">
        <f t="shared" si="17"/>
        <v>3</v>
      </c>
      <c r="AI73" s="3" t="s">
        <v>95</v>
      </c>
    </row>
    <row r="74" spans="1:44" x14ac:dyDescent="0.25">
      <c r="A74">
        <v>20.9</v>
      </c>
      <c r="B74">
        <v>35.700000000000003</v>
      </c>
      <c r="C74">
        <v>0</v>
      </c>
      <c r="D74">
        <v>13.8</v>
      </c>
      <c r="E74">
        <v>6.9</v>
      </c>
      <c r="F74">
        <v>50</v>
      </c>
      <c r="G74" t="s">
        <v>22</v>
      </c>
      <c r="H74" t="s">
        <v>26</v>
      </c>
      <c r="I74">
        <v>4</v>
      </c>
      <c r="J74">
        <v>17</v>
      </c>
      <c r="K74">
        <v>61</v>
      </c>
      <c r="L74">
        <v>28</v>
      </c>
      <c r="M74">
        <v>1007.6</v>
      </c>
      <c r="N74">
        <v>1003</v>
      </c>
      <c r="O74">
        <v>7</v>
      </c>
      <c r="P74">
        <v>34</v>
      </c>
      <c r="Q74" t="s">
        <v>19</v>
      </c>
      <c r="S74">
        <v>36</v>
      </c>
      <c r="T74">
        <v>31.742715699826316</v>
      </c>
      <c r="U74">
        <v>5.63</v>
      </c>
      <c r="W74">
        <f t="shared" si="9"/>
        <v>17</v>
      </c>
      <c r="X74">
        <f t="shared" si="10"/>
        <v>27.5</v>
      </c>
      <c r="Y74">
        <f t="shared" si="11"/>
        <v>27.9</v>
      </c>
      <c r="Z74">
        <f t="shared" si="12"/>
        <v>28</v>
      </c>
      <c r="AA74">
        <f t="shared" si="13"/>
        <v>46</v>
      </c>
      <c r="AB74">
        <f t="shared" si="14"/>
        <v>236</v>
      </c>
      <c r="AC74" t="str">
        <f t="shared" si="15"/>
        <v>N</v>
      </c>
      <c r="AD74" t="str">
        <f t="shared" si="16"/>
        <v>W</v>
      </c>
      <c r="AE74">
        <f t="shared" si="17"/>
        <v>1</v>
      </c>
      <c r="AI74">
        <f>_xlfn.XLOOKUP("NNE",AI78:AR78,AI81:AR81)</f>
        <v>82</v>
      </c>
    </row>
    <row r="75" spans="1:44" x14ac:dyDescent="0.25">
      <c r="A75">
        <v>17</v>
      </c>
      <c r="B75">
        <v>33.799999999999997</v>
      </c>
      <c r="C75">
        <v>2</v>
      </c>
      <c r="D75">
        <v>9</v>
      </c>
      <c r="E75">
        <v>13.5</v>
      </c>
      <c r="F75">
        <v>52</v>
      </c>
      <c r="G75" t="s">
        <v>33</v>
      </c>
      <c r="H75" t="s">
        <v>23</v>
      </c>
      <c r="I75">
        <v>6</v>
      </c>
      <c r="J75">
        <v>24</v>
      </c>
      <c r="K75">
        <v>65</v>
      </c>
      <c r="L75">
        <v>35</v>
      </c>
      <c r="M75">
        <v>1004</v>
      </c>
      <c r="N75">
        <v>1001.8</v>
      </c>
      <c r="O75">
        <v>2</v>
      </c>
      <c r="P75">
        <v>31.8</v>
      </c>
      <c r="Q75" t="s">
        <v>20</v>
      </c>
      <c r="S75">
        <v>34</v>
      </c>
      <c r="T75">
        <v>31.685959035509718</v>
      </c>
      <c r="U75">
        <v>5.63</v>
      </c>
      <c r="W75">
        <f t="shared" si="9"/>
        <v>24</v>
      </c>
      <c r="X75">
        <f t="shared" si="10"/>
        <v>32.5</v>
      </c>
      <c r="Y75">
        <f t="shared" si="11"/>
        <v>43.5</v>
      </c>
      <c r="Z75">
        <f t="shared" si="12"/>
        <v>35</v>
      </c>
      <c r="AA75">
        <f t="shared" si="13"/>
        <v>38</v>
      </c>
      <c r="AB75">
        <f t="shared" si="14"/>
        <v>247</v>
      </c>
      <c r="AC75" t="str">
        <f t="shared" si="15"/>
        <v>Y</v>
      </c>
      <c r="AD75" t="str">
        <f t="shared" si="16"/>
        <v>W</v>
      </c>
      <c r="AE75">
        <f t="shared" si="17"/>
        <v>3</v>
      </c>
    </row>
    <row r="76" spans="1:44" x14ac:dyDescent="0.25">
      <c r="A76">
        <v>16</v>
      </c>
      <c r="B76">
        <v>22.8</v>
      </c>
      <c r="C76">
        <v>0</v>
      </c>
      <c r="D76">
        <v>12.4</v>
      </c>
      <c r="E76">
        <v>6</v>
      </c>
      <c r="F76">
        <v>50</v>
      </c>
      <c r="G76" t="s">
        <v>22</v>
      </c>
      <c r="H76" t="s">
        <v>21</v>
      </c>
      <c r="I76">
        <v>13</v>
      </c>
      <c r="J76">
        <v>19</v>
      </c>
      <c r="K76">
        <v>70</v>
      </c>
      <c r="L76">
        <v>57</v>
      </c>
      <c r="M76">
        <v>1012.3</v>
      </c>
      <c r="N76">
        <v>1012.3</v>
      </c>
      <c r="O76">
        <v>8</v>
      </c>
      <c r="P76">
        <v>21.6</v>
      </c>
      <c r="Q76" t="s">
        <v>19</v>
      </c>
      <c r="S76">
        <v>23</v>
      </c>
      <c r="T76">
        <v>31.816662301379132</v>
      </c>
      <c r="U76">
        <v>5.64</v>
      </c>
      <c r="W76">
        <f t="shared" si="9"/>
        <v>19</v>
      </c>
      <c r="X76">
        <f t="shared" si="10"/>
        <v>39.75</v>
      </c>
      <c r="Y76">
        <f t="shared" si="11"/>
        <v>38</v>
      </c>
      <c r="Z76">
        <f t="shared" si="12"/>
        <v>57</v>
      </c>
      <c r="AA76">
        <f t="shared" si="13"/>
        <v>45</v>
      </c>
      <c r="AB76">
        <f t="shared" si="14"/>
        <v>236</v>
      </c>
      <c r="AC76" t="str">
        <f t="shared" si="15"/>
        <v>N</v>
      </c>
      <c r="AD76" t="str">
        <f t="shared" si="16"/>
        <v>E</v>
      </c>
      <c r="AE76">
        <f t="shared" si="17"/>
        <v>1</v>
      </c>
    </row>
    <row r="77" spans="1:44" x14ac:dyDescent="0.25">
      <c r="A77">
        <v>15.4</v>
      </c>
      <c r="B77">
        <v>33.799999999999997</v>
      </c>
      <c r="C77">
        <v>0</v>
      </c>
      <c r="D77">
        <v>5.2</v>
      </c>
      <c r="E77">
        <v>11.1</v>
      </c>
      <c r="F77">
        <v>35</v>
      </c>
      <c r="G77" t="s">
        <v>22</v>
      </c>
      <c r="H77" t="s">
        <v>17</v>
      </c>
      <c r="I77">
        <v>7</v>
      </c>
      <c r="J77">
        <v>15</v>
      </c>
      <c r="K77">
        <v>70</v>
      </c>
      <c r="L77">
        <v>26</v>
      </c>
      <c r="M77">
        <v>1014.2</v>
      </c>
      <c r="N77">
        <v>1009</v>
      </c>
      <c r="O77">
        <v>7</v>
      </c>
      <c r="P77">
        <v>31.7</v>
      </c>
      <c r="Q77" t="s">
        <v>19</v>
      </c>
      <c r="S77">
        <v>34</v>
      </c>
      <c r="T77">
        <v>31.846506872811027</v>
      </c>
      <c r="U77">
        <v>5.64</v>
      </c>
      <c r="W77">
        <f t="shared" si="9"/>
        <v>15</v>
      </c>
      <c r="X77">
        <f t="shared" si="10"/>
        <v>29.5</v>
      </c>
      <c r="Y77">
        <f t="shared" si="11"/>
        <v>33.1</v>
      </c>
      <c r="Z77">
        <f t="shared" si="12"/>
        <v>26</v>
      </c>
      <c r="AA77">
        <f t="shared" si="13"/>
        <v>154</v>
      </c>
      <c r="AB77">
        <f t="shared" si="14"/>
        <v>118</v>
      </c>
      <c r="AC77" t="str">
        <f t="shared" si="15"/>
        <v>N</v>
      </c>
      <c r="AD77" t="str">
        <f t="shared" si="16"/>
        <v>W</v>
      </c>
      <c r="AE77">
        <f t="shared" si="17"/>
        <v>1</v>
      </c>
      <c r="AH77" s="6" t="s">
        <v>6</v>
      </c>
      <c r="AI77" t="s">
        <v>18</v>
      </c>
      <c r="AJ77" t="s">
        <v>22</v>
      </c>
      <c r="AK77" t="s">
        <v>24</v>
      </c>
      <c r="AL77" t="s">
        <v>26</v>
      </c>
      <c r="AM77" t="s">
        <v>27</v>
      </c>
      <c r="AN77" t="s">
        <v>29</v>
      </c>
      <c r="AO77" t="s">
        <v>29</v>
      </c>
      <c r="AP77" t="s">
        <v>29</v>
      </c>
      <c r="AQ77" t="s">
        <v>22</v>
      </c>
      <c r="AR77" t="s">
        <v>30</v>
      </c>
    </row>
    <row r="78" spans="1:44" x14ac:dyDescent="0.25">
      <c r="A78">
        <v>17.899999999999999</v>
      </c>
      <c r="B78">
        <v>33.200000000000003</v>
      </c>
      <c r="C78">
        <v>0</v>
      </c>
      <c r="D78">
        <v>10.4</v>
      </c>
      <c r="E78">
        <v>8.4</v>
      </c>
      <c r="F78">
        <v>59</v>
      </c>
      <c r="G78" t="s">
        <v>24</v>
      </c>
      <c r="H78" t="s">
        <v>25</v>
      </c>
      <c r="I78">
        <v>15</v>
      </c>
      <c r="J78">
        <v>20</v>
      </c>
      <c r="K78">
        <v>58</v>
      </c>
      <c r="L78">
        <v>62</v>
      </c>
      <c r="M78">
        <v>1008.5</v>
      </c>
      <c r="N78">
        <v>1006.1</v>
      </c>
      <c r="O78">
        <v>6</v>
      </c>
      <c r="P78">
        <v>23.5</v>
      </c>
      <c r="Q78" t="s">
        <v>19</v>
      </c>
      <c r="S78">
        <v>33</v>
      </c>
      <c r="T78">
        <v>31.756889016400834</v>
      </c>
      <c r="U78">
        <v>5.64</v>
      </c>
      <c r="W78">
        <f t="shared" si="9"/>
        <v>20</v>
      </c>
      <c r="X78">
        <f t="shared" si="10"/>
        <v>38.75</v>
      </c>
      <c r="Y78">
        <f t="shared" si="11"/>
        <v>43.4</v>
      </c>
      <c r="Z78">
        <f t="shared" si="12"/>
        <v>58</v>
      </c>
      <c r="AA78">
        <f t="shared" si="13"/>
        <v>22</v>
      </c>
      <c r="AB78">
        <f t="shared" si="14"/>
        <v>260</v>
      </c>
      <c r="AC78" t="str">
        <f t="shared" si="15"/>
        <v>N</v>
      </c>
      <c r="AD78" t="str">
        <f t="shared" si="16"/>
        <v>E</v>
      </c>
      <c r="AE78">
        <f t="shared" si="17"/>
        <v>1</v>
      </c>
      <c r="AH78" s="6" t="s">
        <v>7</v>
      </c>
      <c r="AI78" t="s">
        <v>17</v>
      </c>
      <c r="AJ78" t="s">
        <v>23</v>
      </c>
      <c r="AK78" t="s">
        <v>25</v>
      </c>
      <c r="AL78" t="s">
        <v>23</v>
      </c>
      <c r="AM78" t="s">
        <v>28</v>
      </c>
      <c r="AN78" t="s">
        <v>22</v>
      </c>
      <c r="AO78" t="s">
        <v>28</v>
      </c>
      <c r="AP78" t="s">
        <v>22</v>
      </c>
      <c r="AQ78" t="s">
        <v>21</v>
      </c>
      <c r="AR78" t="s">
        <v>28</v>
      </c>
    </row>
    <row r="79" spans="1:44" x14ac:dyDescent="0.25">
      <c r="A79">
        <v>15.2</v>
      </c>
      <c r="B79">
        <v>25.1</v>
      </c>
      <c r="C79">
        <v>4.8</v>
      </c>
      <c r="D79">
        <v>6.4</v>
      </c>
      <c r="E79">
        <v>11.6</v>
      </c>
      <c r="F79">
        <v>46</v>
      </c>
      <c r="G79" t="s">
        <v>28</v>
      </c>
      <c r="H79" t="s">
        <v>28</v>
      </c>
      <c r="I79">
        <v>20</v>
      </c>
      <c r="J79">
        <v>28</v>
      </c>
      <c r="K79">
        <v>62</v>
      </c>
      <c r="L79">
        <v>42</v>
      </c>
      <c r="M79">
        <v>1016.8</v>
      </c>
      <c r="N79">
        <v>1015</v>
      </c>
      <c r="O79">
        <v>1</v>
      </c>
      <c r="P79">
        <v>23.9</v>
      </c>
      <c r="Q79" t="s">
        <v>20</v>
      </c>
      <c r="S79">
        <v>25</v>
      </c>
      <c r="T79">
        <v>31.887301547794852</v>
      </c>
      <c r="U79">
        <v>5.65</v>
      </c>
      <c r="W79">
        <f t="shared" si="9"/>
        <v>28</v>
      </c>
      <c r="X79">
        <f t="shared" si="10"/>
        <v>38</v>
      </c>
      <c r="Y79">
        <f t="shared" si="11"/>
        <v>59.6</v>
      </c>
      <c r="Z79">
        <f t="shared" si="12"/>
        <v>42</v>
      </c>
      <c r="AA79">
        <f t="shared" si="13"/>
        <v>70</v>
      </c>
      <c r="AB79">
        <f t="shared" si="14"/>
        <v>199</v>
      </c>
      <c r="AC79" t="str">
        <f t="shared" si="15"/>
        <v>Y</v>
      </c>
      <c r="AD79" t="str">
        <f t="shared" si="16"/>
        <v>E</v>
      </c>
      <c r="AE79">
        <f t="shared" si="17"/>
        <v>3</v>
      </c>
      <c r="AH79" s="6" t="s">
        <v>8</v>
      </c>
      <c r="AI79">
        <v>6</v>
      </c>
      <c r="AJ79">
        <v>4</v>
      </c>
      <c r="AK79">
        <v>6</v>
      </c>
      <c r="AL79">
        <v>30</v>
      </c>
      <c r="AM79">
        <v>20</v>
      </c>
      <c r="AN79">
        <v>20</v>
      </c>
      <c r="AO79">
        <v>19</v>
      </c>
      <c r="AP79">
        <v>11</v>
      </c>
      <c r="AQ79">
        <v>19</v>
      </c>
      <c r="AR79">
        <v>7</v>
      </c>
    </row>
    <row r="80" spans="1:44" x14ac:dyDescent="0.25">
      <c r="A80">
        <v>15.1</v>
      </c>
      <c r="B80">
        <v>20.399999999999999</v>
      </c>
      <c r="C80">
        <v>0</v>
      </c>
      <c r="D80">
        <v>9.6</v>
      </c>
      <c r="E80">
        <v>0.1</v>
      </c>
      <c r="F80">
        <v>39</v>
      </c>
      <c r="G80" t="s">
        <v>28</v>
      </c>
      <c r="H80" t="s">
        <v>28</v>
      </c>
      <c r="I80">
        <v>17</v>
      </c>
      <c r="J80">
        <v>19</v>
      </c>
      <c r="K80">
        <v>63</v>
      </c>
      <c r="L80">
        <v>55</v>
      </c>
      <c r="M80">
        <v>1017.5</v>
      </c>
      <c r="N80">
        <v>1015.8</v>
      </c>
      <c r="O80">
        <v>8</v>
      </c>
      <c r="P80">
        <v>19.399999999999999</v>
      </c>
      <c r="Q80" t="s">
        <v>19</v>
      </c>
      <c r="S80">
        <v>20</v>
      </c>
      <c r="T80">
        <v>31.898275815473163</v>
      </c>
      <c r="U80">
        <v>5.65</v>
      </c>
      <c r="W80">
        <f t="shared" si="9"/>
        <v>19</v>
      </c>
      <c r="X80">
        <f t="shared" si="10"/>
        <v>38.5</v>
      </c>
      <c r="Y80">
        <f t="shared" si="11"/>
        <v>36.1</v>
      </c>
      <c r="Z80">
        <f t="shared" si="12"/>
        <v>55</v>
      </c>
      <c r="AA80">
        <f t="shared" si="13"/>
        <v>133</v>
      </c>
      <c r="AB80">
        <f t="shared" si="14"/>
        <v>136</v>
      </c>
      <c r="AC80" t="str">
        <f t="shared" si="15"/>
        <v>N</v>
      </c>
      <c r="AD80" t="str">
        <f t="shared" si="16"/>
        <v>E</v>
      </c>
      <c r="AE80">
        <f t="shared" si="17"/>
        <v>3</v>
      </c>
      <c r="AH80" s="6" t="s">
        <v>9</v>
      </c>
      <c r="AI80">
        <v>20</v>
      </c>
      <c r="AJ80">
        <v>17</v>
      </c>
      <c r="AK80">
        <v>6</v>
      </c>
      <c r="AL80">
        <v>24</v>
      </c>
      <c r="AM80">
        <v>28</v>
      </c>
      <c r="AN80">
        <v>24</v>
      </c>
      <c r="AO80">
        <v>26</v>
      </c>
      <c r="AP80">
        <v>24</v>
      </c>
      <c r="AQ80">
        <v>17</v>
      </c>
      <c r="AR80">
        <v>6</v>
      </c>
    </row>
    <row r="81" spans="1:44" x14ac:dyDescent="0.25">
      <c r="A81">
        <v>15.3</v>
      </c>
      <c r="B81">
        <v>19.600000000000001</v>
      </c>
      <c r="C81">
        <v>18.8</v>
      </c>
      <c r="D81">
        <v>5</v>
      </c>
      <c r="E81">
        <v>0</v>
      </c>
      <c r="F81">
        <v>33</v>
      </c>
      <c r="G81" t="s">
        <v>27</v>
      </c>
      <c r="H81" t="s">
        <v>25</v>
      </c>
      <c r="I81">
        <v>9</v>
      </c>
      <c r="J81">
        <v>13</v>
      </c>
      <c r="K81">
        <v>92</v>
      </c>
      <c r="L81">
        <v>88</v>
      </c>
      <c r="M81">
        <v>1008.7</v>
      </c>
      <c r="N81">
        <v>1006</v>
      </c>
      <c r="O81">
        <v>8</v>
      </c>
      <c r="P81">
        <v>18.600000000000001</v>
      </c>
      <c r="Q81" t="s">
        <v>20</v>
      </c>
      <c r="S81">
        <v>20</v>
      </c>
      <c r="T81">
        <v>31.760037783352843</v>
      </c>
      <c r="U81">
        <v>5.64</v>
      </c>
      <c r="W81">
        <f t="shared" si="9"/>
        <v>13</v>
      </c>
      <c r="X81">
        <f t="shared" si="10"/>
        <v>50.5</v>
      </c>
      <c r="Y81">
        <f t="shared" si="11"/>
        <v>22</v>
      </c>
      <c r="Z81">
        <f t="shared" si="12"/>
        <v>88</v>
      </c>
      <c r="AA81">
        <f t="shared" si="13"/>
        <v>169</v>
      </c>
      <c r="AB81">
        <f t="shared" si="14"/>
        <v>102</v>
      </c>
      <c r="AC81" t="str">
        <f t="shared" si="15"/>
        <v>Y</v>
      </c>
      <c r="AD81" t="str">
        <f t="shared" si="16"/>
        <v>E</v>
      </c>
      <c r="AE81">
        <f t="shared" si="17"/>
        <v>3</v>
      </c>
      <c r="AH81" s="6" t="s">
        <v>10</v>
      </c>
      <c r="AI81">
        <v>68</v>
      </c>
      <c r="AJ81">
        <v>80</v>
      </c>
      <c r="AK81">
        <v>82</v>
      </c>
      <c r="AL81">
        <v>62</v>
      </c>
      <c r="AM81">
        <v>68</v>
      </c>
      <c r="AN81">
        <v>70</v>
      </c>
      <c r="AO81">
        <v>63</v>
      </c>
      <c r="AP81">
        <v>65</v>
      </c>
      <c r="AQ81">
        <v>70</v>
      </c>
      <c r="AR81">
        <v>82</v>
      </c>
    </row>
    <row r="82" spans="1:44" x14ac:dyDescent="0.25">
      <c r="A82">
        <v>17.2</v>
      </c>
      <c r="B82">
        <v>24.7</v>
      </c>
      <c r="C82">
        <v>12.2</v>
      </c>
      <c r="D82">
        <v>1.4</v>
      </c>
      <c r="E82">
        <v>8.1</v>
      </c>
      <c r="F82">
        <v>50</v>
      </c>
      <c r="G82" t="s">
        <v>17</v>
      </c>
      <c r="H82" t="s">
        <v>26</v>
      </c>
      <c r="I82">
        <v>19</v>
      </c>
      <c r="J82">
        <v>28</v>
      </c>
      <c r="K82">
        <v>80</v>
      </c>
      <c r="L82">
        <v>71</v>
      </c>
      <c r="M82">
        <v>1004.9</v>
      </c>
      <c r="N82">
        <v>1004</v>
      </c>
      <c r="O82">
        <v>7</v>
      </c>
      <c r="P82">
        <v>21.9</v>
      </c>
      <c r="Q82" t="s">
        <v>20</v>
      </c>
      <c r="S82">
        <v>25</v>
      </c>
      <c r="T82">
        <v>31.700157728314224</v>
      </c>
      <c r="U82">
        <v>5.63</v>
      </c>
      <c r="W82">
        <f t="shared" si="9"/>
        <v>28</v>
      </c>
      <c r="X82">
        <f t="shared" si="10"/>
        <v>49.5</v>
      </c>
      <c r="Y82">
        <f t="shared" si="11"/>
        <v>55.1</v>
      </c>
      <c r="Z82">
        <f t="shared" si="12"/>
        <v>71</v>
      </c>
      <c r="AA82">
        <f t="shared" si="13"/>
        <v>44</v>
      </c>
      <c r="AB82">
        <f t="shared" si="14"/>
        <v>232</v>
      </c>
      <c r="AC82" t="str">
        <f t="shared" si="15"/>
        <v>Y</v>
      </c>
      <c r="AD82" t="str">
        <f t="shared" si="16"/>
        <v>W</v>
      </c>
      <c r="AE82">
        <f t="shared" si="17"/>
        <v>2</v>
      </c>
    </row>
    <row r="83" spans="1:44" x14ac:dyDescent="0.25">
      <c r="A83">
        <v>15.9</v>
      </c>
      <c r="B83">
        <v>19.899999999999999</v>
      </c>
      <c r="C83">
        <v>0.8</v>
      </c>
      <c r="D83">
        <v>5.6</v>
      </c>
      <c r="E83">
        <v>1.6</v>
      </c>
      <c r="F83">
        <v>48</v>
      </c>
      <c r="G83" t="s">
        <v>27</v>
      </c>
      <c r="H83" t="s">
        <v>28</v>
      </c>
      <c r="I83">
        <v>17</v>
      </c>
      <c r="J83">
        <v>22</v>
      </c>
      <c r="K83">
        <v>73</v>
      </c>
      <c r="L83">
        <v>58</v>
      </c>
      <c r="M83">
        <v>1011.4</v>
      </c>
      <c r="N83">
        <v>1012.1</v>
      </c>
      <c r="O83">
        <v>8</v>
      </c>
      <c r="P83">
        <v>18.600000000000001</v>
      </c>
      <c r="Q83" t="s">
        <v>19</v>
      </c>
      <c r="S83">
        <v>20</v>
      </c>
      <c r="T83">
        <v>31.802515623767878</v>
      </c>
      <c r="U83">
        <v>5.64</v>
      </c>
      <c r="W83">
        <f t="shared" si="9"/>
        <v>22</v>
      </c>
      <c r="X83">
        <f t="shared" si="10"/>
        <v>42.5</v>
      </c>
      <c r="Y83">
        <f t="shared" si="11"/>
        <v>40.6</v>
      </c>
      <c r="Z83">
        <f t="shared" si="12"/>
        <v>58</v>
      </c>
      <c r="AA83">
        <f t="shared" si="13"/>
        <v>53</v>
      </c>
      <c r="AB83">
        <f t="shared" si="14"/>
        <v>216</v>
      </c>
      <c r="AC83" t="str">
        <f t="shared" si="15"/>
        <v>N</v>
      </c>
      <c r="AD83" t="str">
        <f t="shared" si="16"/>
        <v>E</v>
      </c>
      <c r="AE83">
        <f t="shared" si="17"/>
        <v>3</v>
      </c>
    </row>
    <row r="84" spans="1:44" x14ac:dyDescent="0.25">
      <c r="A84">
        <v>10</v>
      </c>
      <c r="B84">
        <v>22.5</v>
      </c>
      <c r="C84">
        <v>0</v>
      </c>
      <c r="D84">
        <v>4.4000000000000004</v>
      </c>
      <c r="E84">
        <v>11.6</v>
      </c>
      <c r="F84">
        <v>33</v>
      </c>
      <c r="G84" t="s">
        <v>29</v>
      </c>
      <c r="H84" t="s">
        <v>30</v>
      </c>
      <c r="I84">
        <v>11</v>
      </c>
      <c r="J84">
        <v>7</v>
      </c>
      <c r="K84">
        <v>55</v>
      </c>
      <c r="L84">
        <v>46</v>
      </c>
      <c r="M84">
        <v>1018.7</v>
      </c>
      <c r="N84">
        <v>1016.8</v>
      </c>
      <c r="O84">
        <v>1</v>
      </c>
      <c r="P84">
        <v>22.2</v>
      </c>
      <c r="Q84" t="s">
        <v>19</v>
      </c>
      <c r="S84">
        <v>23</v>
      </c>
      <c r="T84">
        <v>31.917080066948483</v>
      </c>
      <c r="U84">
        <v>5.65</v>
      </c>
      <c r="W84">
        <f t="shared" si="9"/>
        <v>11</v>
      </c>
      <c r="X84">
        <f t="shared" si="10"/>
        <v>29.75</v>
      </c>
      <c r="Y84">
        <f t="shared" si="11"/>
        <v>29.6</v>
      </c>
      <c r="Z84">
        <f t="shared" si="12"/>
        <v>46</v>
      </c>
      <c r="AA84">
        <f t="shared" si="13"/>
        <v>167</v>
      </c>
      <c r="AB84">
        <f t="shared" si="14"/>
        <v>102</v>
      </c>
      <c r="AC84" t="str">
        <f t="shared" si="15"/>
        <v>N</v>
      </c>
      <c r="AD84" t="str">
        <f t="shared" si="16"/>
        <v>S</v>
      </c>
      <c r="AE84">
        <f t="shared" si="17"/>
        <v>2</v>
      </c>
      <c r="AJ84" s="3" t="s">
        <v>92</v>
      </c>
    </row>
    <row r="85" spans="1:44" x14ac:dyDescent="0.25">
      <c r="A85">
        <v>9.9</v>
      </c>
      <c r="B85">
        <v>24.4</v>
      </c>
      <c r="C85">
        <v>0</v>
      </c>
      <c r="D85">
        <v>5.8</v>
      </c>
      <c r="E85">
        <v>10.8</v>
      </c>
      <c r="F85">
        <v>28</v>
      </c>
      <c r="G85" t="s">
        <v>29</v>
      </c>
      <c r="H85" t="s">
        <v>22</v>
      </c>
      <c r="I85">
        <v>7</v>
      </c>
      <c r="J85">
        <v>7</v>
      </c>
      <c r="K85">
        <v>60</v>
      </c>
      <c r="L85">
        <v>38</v>
      </c>
      <c r="M85">
        <v>1021.6</v>
      </c>
      <c r="N85">
        <v>1019.2</v>
      </c>
      <c r="O85">
        <v>1</v>
      </c>
      <c r="P85">
        <v>22.7</v>
      </c>
      <c r="Q85" t="s">
        <v>19</v>
      </c>
      <c r="S85">
        <v>24</v>
      </c>
      <c r="T85">
        <v>31.962478001556764</v>
      </c>
      <c r="U85">
        <v>5.65</v>
      </c>
      <c r="W85">
        <f t="shared" si="9"/>
        <v>7</v>
      </c>
      <c r="X85">
        <f t="shared" si="10"/>
        <v>28</v>
      </c>
      <c r="Y85">
        <f t="shared" si="11"/>
        <v>24.8</v>
      </c>
      <c r="Z85">
        <f t="shared" si="12"/>
        <v>38</v>
      </c>
      <c r="AA85">
        <f t="shared" si="13"/>
        <v>225</v>
      </c>
      <c r="AB85">
        <f t="shared" si="14"/>
        <v>45</v>
      </c>
      <c r="AC85" t="str">
        <f t="shared" si="15"/>
        <v>N</v>
      </c>
      <c r="AD85" t="str">
        <f t="shared" si="16"/>
        <v>E</v>
      </c>
      <c r="AE85">
        <f t="shared" si="17"/>
        <v>2</v>
      </c>
      <c r="AI85" t="s">
        <v>24</v>
      </c>
      <c r="AJ85">
        <f>HLOOKUP("N",AK77:AR81,3,FALSE)</f>
        <v>6</v>
      </c>
    </row>
    <row r="86" spans="1:44" x14ac:dyDescent="0.25">
      <c r="A86">
        <v>10.3</v>
      </c>
      <c r="B86">
        <v>27.8</v>
      </c>
      <c r="C86">
        <v>0</v>
      </c>
      <c r="D86">
        <v>6.4</v>
      </c>
      <c r="E86">
        <v>9.9</v>
      </c>
      <c r="F86">
        <v>35</v>
      </c>
      <c r="G86" t="s">
        <v>29</v>
      </c>
      <c r="H86" t="s">
        <v>32</v>
      </c>
      <c r="I86">
        <v>6</v>
      </c>
      <c r="J86">
        <v>11</v>
      </c>
      <c r="K86">
        <v>64</v>
      </c>
      <c r="L86">
        <v>29</v>
      </c>
      <c r="M86">
        <v>1021.3</v>
      </c>
      <c r="N86">
        <v>1018.1</v>
      </c>
      <c r="O86">
        <v>3</v>
      </c>
      <c r="P86">
        <v>26.3</v>
      </c>
      <c r="Q86" t="s">
        <v>19</v>
      </c>
      <c r="S86">
        <v>28</v>
      </c>
      <c r="T86">
        <v>31.95778465413396</v>
      </c>
      <c r="U86">
        <v>5.65</v>
      </c>
      <c r="W86">
        <f t="shared" si="9"/>
        <v>11</v>
      </c>
      <c r="X86">
        <f t="shared" si="10"/>
        <v>27.5</v>
      </c>
      <c r="Y86">
        <f t="shared" si="11"/>
        <v>26.9</v>
      </c>
      <c r="Z86">
        <f t="shared" si="12"/>
        <v>29</v>
      </c>
      <c r="AA86">
        <f t="shared" si="13"/>
        <v>149</v>
      </c>
      <c r="AB86">
        <f t="shared" si="14"/>
        <v>115</v>
      </c>
      <c r="AC86" t="str">
        <f t="shared" si="15"/>
        <v>N</v>
      </c>
      <c r="AD86" t="str">
        <f t="shared" si="16"/>
        <v>E</v>
      </c>
      <c r="AE86">
        <f t="shared" si="17"/>
        <v>2</v>
      </c>
      <c r="AI86" t="s">
        <v>25</v>
      </c>
      <c r="AJ86">
        <f>HLOOKUP("NNE",AK78:AR81,4,0)</f>
        <v>82</v>
      </c>
    </row>
    <row r="87" spans="1:44" x14ac:dyDescent="0.25">
      <c r="A87">
        <v>15.4</v>
      </c>
      <c r="B87">
        <v>25.7</v>
      </c>
      <c r="C87">
        <v>0</v>
      </c>
      <c r="D87">
        <v>6.8</v>
      </c>
      <c r="E87">
        <v>8.1999999999999993</v>
      </c>
      <c r="F87">
        <v>41</v>
      </c>
      <c r="G87" t="s">
        <v>22</v>
      </c>
      <c r="H87" t="s">
        <v>32</v>
      </c>
      <c r="I87">
        <v>9</v>
      </c>
      <c r="J87">
        <v>17</v>
      </c>
      <c r="K87">
        <v>67</v>
      </c>
      <c r="L87">
        <v>32</v>
      </c>
      <c r="M87">
        <v>1020.1</v>
      </c>
      <c r="N87">
        <v>1016.9</v>
      </c>
      <c r="O87">
        <v>7</v>
      </c>
      <c r="P87">
        <v>24.6</v>
      </c>
      <c r="Q87" t="s">
        <v>19</v>
      </c>
      <c r="S87">
        <v>26</v>
      </c>
      <c r="T87">
        <v>31.939004367700633</v>
      </c>
      <c r="U87">
        <v>5.65</v>
      </c>
      <c r="W87">
        <f t="shared" si="9"/>
        <v>17</v>
      </c>
      <c r="X87">
        <f t="shared" si="10"/>
        <v>31.25</v>
      </c>
      <c r="Y87">
        <f t="shared" si="11"/>
        <v>34.200000000000003</v>
      </c>
      <c r="Z87">
        <f t="shared" si="12"/>
        <v>32</v>
      </c>
      <c r="AA87">
        <f t="shared" si="13"/>
        <v>112</v>
      </c>
      <c r="AB87">
        <f t="shared" si="14"/>
        <v>150</v>
      </c>
      <c r="AC87" t="str">
        <f t="shared" si="15"/>
        <v>N</v>
      </c>
      <c r="AD87" t="str">
        <f t="shared" si="16"/>
        <v>E</v>
      </c>
      <c r="AE87">
        <f t="shared" si="17"/>
        <v>1</v>
      </c>
    </row>
    <row r="88" spans="1:44" x14ac:dyDescent="0.25">
      <c r="A88">
        <v>12.7</v>
      </c>
      <c r="B88">
        <v>28.8</v>
      </c>
      <c r="C88">
        <v>0</v>
      </c>
      <c r="D88">
        <v>7.4</v>
      </c>
      <c r="E88">
        <v>9</v>
      </c>
      <c r="F88">
        <v>28</v>
      </c>
      <c r="G88" t="s">
        <v>17</v>
      </c>
      <c r="H88" t="s">
        <v>34</v>
      </c>
      <c r="I88">
        <v>4</v>
      </c>
      <c r="J88">
        <v>7</v>
      </c>
      <c r="K88">
        <v>70</v>
      </c>
      <c r="L88">
        <v>28</v>
      </c>
      <c r="M88">
        <v>1016.5</v>
      </c>
      <c r="N88">
        <v>1012.4</v>
      </c>
      <c r="O88">
        <v>1</v>
      </c>
      <c r="P88">
        <v>28.3</v>
      </c>
      <c r="Q88" t="s">
        <v>19</v>
      </c>
      <c r="S88">
        <v>29</v>
      </c>
      <c r="T88">
        <v>31.882597133859718</v>
      </c>
      <c r="U88">
        <v>5.65</v>
      </c>
      <c r="W88">
        <f t="shared" si="9"/>
        <v>7</v>
      </c>
      <c r="X88">
        <f t="shared" si="10"/>
        <v>27.25</v>
      </c>
      <c r="Y88">
        <f t="shared" si="11"/>
        <v>20</v>
      </c>
      <c r="Z88">
        <f t="shared" si="12"/>
        <v>28</v>
      </c>
      <c r="AA88">
        <f t="shared" si="13"/>
        <v>223</v>
      </c>
      <c r="AB88">
        <f t="shared" si="14"/>
        <v>45</v>
      </c>
      <c r="AC88" t="str">
        <f t="shared" si="15"/>
        <v>N</v>
      </c>
      <c r="AD88" t="str">
        <f t="shared" si="16"/>
        <v>W</v>
      </c>
      <c r="AE88">
        <f t="shared" si="17"/>
        <v>2</v>
      </c>
    </row>
    <row r="89" spans="1:44" x14ac:dyDescent="0.25">
      <c r="A89">
        <v>13.2</v>
      </c>
      <c r="B89">
        <v>31.3</v>
      </c>
      <c r="C89">
        <v>0</v>
      </c>
      <c r="D89">
        <v>6.6</v>
      </c>
      <c r="E89">
        <v>11.6</v>
      </c>
      <c r="F89">
        <v>46</v>
      </c>
      <c r="G89" t="s">
        <v>24</v>
      </c>
      <c r="H89" t="s">
        <v>26</v>
      </c>
      <c r="I89">
        <v>4</v>
      </c>
      <c r="J89">
        <v>26</v>
      </c>
      <c r="K89">
        <v>71</v>
      </c>
      <c r="L89">
        <v>28</v>
      </c>
      <c r="M89">
        <v>1013.1</v>
      </c>
      <c r="N89">
        <v>1009.5</v>
      </c>
      <c r="O89">
        <v>1</v>
      </c>
      <c r="P89">
        <v>30.7</v>
      </c>
      <c r="Q89" t="s">
        <v>19</v>
      </c>
      <c r="S89">
        <v>31</v>
      </c>
      <c r="T89">
        <v>31.829231847470023</v>
      </c>
      <c r="U89">
        <v>5.64</v>
      </c>
      <c r="W89">
        <f t="shared" si="9"/>
        <v>26</v>
      </c>
      <c r="X89">
        <f t="shared" si="10"/>
        <v>32.25</v>
      </c>
      <c r="Y89">
        <f t="shared" si="11"/>
        <v>41.6</v>
      </c>
      <c r="Z89">
        <f t="shared" si="12"/>
        <v>28</v>
      </c>
      <c r="AA89">
        <f t="shared" si="13"/>
        <v>68</v>
      </c>
      <c r="AB89">
        <f t="shared" si="14"/>
        <v>192</v>
      </c>
      <c r="AC89" t="str">
        <f t="shared" si="15"/>
        <v>N</v>
      </c>
      <c r="AD89" t="str">
        <f t="shared" si="16"/>
        <v>W</v>
      </c>
      <c r="AE89">
        <f t="shared" si="17"/>
        <v>1</v>
      </c>
      <c r="AH89" s="3" t="s">
        <v>96</v>
      </c>
      <c r="AI89" s="3" t="s">
        <v>97</v>
      </c>
      <c r="AK89" s="6" t="s">
        <v>98</v>
      </c>
      <c r="AL89" s="6" t="s">
        <v>99</v>
      </c>
      <c r="AM89" s="6" t="s">
        <v>100</v>
      </c>
      <c r="AN89" s="6" t="s">
        <v>101</v>
      </c>
      <c r="AO89" s="6" t="s">
        <v>102</v>
      </c>
      <c r="AP89" s="6" t="s">
        <v>103</v>
      </c>
      <c r="AQ89" s="6" t="s">
        <v>104</v>
      </c>
      <c r="AR89" s="6"/>
    </row>
    <row r="90" spans="1:44" x14ac:dyDescent="0.25">
      <c r="A90">
        <v>15.3</v>
      </c>
      <c r="B90">
        <v>33.200000000000003</v>
      </c>
      <c r="C90">
        <v>0</v>
      </c>
      <c r="D90">
        <v>9.4</v>
      </c>
      <c r="E90">
        <v>13.2</v>
      </c>
      <c r="F90">
        <v>44</v>
      </c>
      <c r="G90" t="s">
        <v>25</v>
      </c>
      <c r="H90" t="s">
        <v>17</v>
      </c>
      <c r="I90">
        <v>4</v>
      </c>
      <c r="J90">
        <v>24</v>
      </c>
      <c r="K90">
        <v>60</v>
      </c>
      <c r="L90">
        <v>18</v>
      </c>
      <c r="M90">
        <v>1013.9</v>
      </c>
      <c r="N90">
        <v>1012</v>
      </c>
      <c r="O90">
        <v>0</v>
      </c>
      <c r="P90">
        <v>32.1</v>
      </c>
      <c r="Q90" t="s">
        <v>19</v>
      </c>
      <c r="S90">
        <v>33</v>
      </c>
      <c r="T90">
        <v>31.841796431734185</v>
      </c>
      <c r="U90">
        <v>5.64</v>
      </c>
      <c r="W90">
        <f t="shared" si="9"/>
        <v>24</v>
      </c>
      <c r="X90">
        <f t="shared" si="10"/>
        <v>26.5</v>
      </c>
      <c r="Y90">
        <f t="shared" si="11"/>
        <v>41.2</v>
      </c>
      <c r="Z90">
        <f t="shared" si="12"/>
        <v>18</v>
      </c>
      <c r="AA90">
        <f t="shared" si="13"/>
        <v>86</v>
      </c>
      <c r="AB90">
        <f t="shared" si="14"/>
        <v>181</v>
      </c>
      <c r="AC90" t="str">
        <f t="shared" si="15"/>
        <v>N</v>
      </c>
      <c r="AD90" t="str">
        <f t="shared" si="16"/>
        <v>W</v>
      </c>
      <c r="AE90">
        <f t="shared" si="17"/>
        <v>3</v>
      </c>
      <c r="AH90">
        <v>32</v>
      </c>
      <c r="AI90" t="str">
        <f>IF(AH90&lt;60,"BELOW 60","ABOVE 60")</f>
        <v>BELOW 60</v>
      </c>
      <c r="AK90" t="s">
        <v>105</v>
      </c>
      <c r="AL90">
        <v>64</v>
      </c>
      <c r="AM90">
        <v>67</v>
      </c>
      <c r="AN90" t="b">
        <f>OR(AL90&lt;35,AM90&lt;35)</f>
        <v>0</v>
      </c>
      <c r="AO90" t="b">
        <f>AND(AL90&lt;35,AM90&lt;35)</f>
        <v>0</v>
      </c>
      <c r="AP90" t="str">
        <f>IF(OR(AL90&lt;35,AM90&lt;35),"FAIL","PASS")</f>
        <v>PASS</v>
      </c>
      <c r="AQ90" t="str">
        <f>IF(AND(AL90&lt;35,AM90&lt;35),"FAIL","PASS")</f>
        <v>PASS</v>
      </c>
    </row>
    <row r="91" spans="1:44" x14ac:dyDescent="0.25">
      <c r="A91">
        <v>17.899999999999999</v>
      </c>
      <c r="B91">
        <v>33.9</v>
      </c>
      <c r="C91">
        <v>0</v>
      </c>
      <c r="D91">
        <v>10.4</v>
      </c>
      <c r="E91">
        <v>11.8</v>
      </c>
      <c r="F91">
        <v>46</v>
      </c>
      <c r="G91" t="s">
        <v>30</v>
      </c>
      <c r="H91" t="s">
        <v>23</v>
      </c>
      <c r="I91">
        <v>6</v>
      </c>
      <c r="J91">
        <v>11</v>
      </c>
      <c r="K91">
        <v>72</v>
      </c>
      <c r="L91">
        <v>22</v>
      </c>
      <c r="M91">
        <v>1017.4</v>
      </c>
      <c r="N91">
        <v>1014.6</v>
      </c>
      <c r="O91">
        <v>1</v>
      </c>
      <c r="P91">
        <v>32.299999999999997</v>
      </c>
      <c r="Q91" t="s">
        <v>19</v>
      </c>
      <c r="S91">
        <v>34</v>
      </c>
      <c r="T91">
        <v>31.896708294117122</v>
      </c>
      <c r="U91">
        <v>5.65</v>
      </c>
      <c r="W91">
        <f t="shared" si="9"/>
        <v>11</v>
      </c>
      <c r="X91">
        <f t="shared" si="10"/>
        <v>27.75</v>
      </c>
      <c r="Y91">
        <f t="shared" si="11"/>
        <v>28.8</v>
      </c>
      <c r="Z91">
        <f t="shared" si="12"/>
        <v>22</v>
      </c>
      <c r="AA91">
        <f t="shared" si="13"/>
        <v>68</v>
      </c>
      <c r="AB91">
        <f t="shared" si="14"/>
        <v>191</v>
      </c>
      <c r="AC91" t="str">
        <f t="shared" si="15"/>
        <v>N</v>
      </c>
      <c r="AD91" t="str">
        <f t="shared" si="16"/>
        <v>W</v>
      </c>
      <c r="AE91">
        <f t="shared" si="17"/>
        <v>1</v>
      </c>
      <c r="AH91">
        <v>44</v>
      </c>
      <c r="AI91" t="str">
        <f t="shared" ref="AI91:AI96" si="18">IF(AH91&lt;60,"BELOW 60","ABOVE 60")</f>
        <v>BELOW 60</v>
      </c>
      <c r="AK91" t="s">
        <v>106</v>
      </c>
      <c r="AL91">
        <v>64</v>
      </c>
      <c r="AM91">
        <v>68</v>
      </c>
      <c r="AN91" t="b">
        <f t="shared" ref="AN91:AN95" si="19">OR(AL91&lt;35,AM91&lt;35)</f>
        <v>0</v>
      </c>
      <c r="AO91" t="b">
        <f t="shared" ref="AO91:AO95" si="20">AND(AL91&lt;35,AM91&lt;35)</f>
        <v>0</v>
      </c>
      <c r="AP91" t="str">
        <f t="shared" ref="AP91:AP95" si="21">IF(OR(AL91&lt;35,AM91&lt;35),"FAIL","PASS")</f>
        <v>PASS</v>
      </c>
      <c r="AQ91" t="str">
        <f t="shared" ref="AQ91:AQ95" si="22">IF(AND(AL91&lt;35,AM91&lt;35),"FAIL","PASS")</f>
        <v>PASS</v>
      </c>
    </row>
    <row r="92" spans="1:44" x14ac:dyDescent="0.25">
      <c r="A92">
        <v>18</v>
      </c>
      <c r="B92">
        <v>34.9</v>
      </c>
      <c r="C92">
        <v>0</v>
      </c>
      <c r="D92">
        <v>9.1999999999999993</v>
      </c>
      <c r="E92">
        <v>9.9</v>
      </c>
      <c r="F92">
        <v>69</v>
      </c>
      <c r="G92" t="s">
        <v>24</v>
      </c>
      <c r="H92" t="s">
        <v>23</v>
      </c>
      <c r="I92">
        <v>6</v>
      </c>
      <c r="J92">
        <v>13</v>
      </c>
      <c r="K92">
        <v>68</v>
      </c>
      <c r="L92">
        <v>29</v>
      </c>
      <c r="M92">
        <v>1018</v>
      </c>
      <c r="N92">
        <v>1013.7</v>
      </c>
      <c r="O92">
        <v>1</v>
      </c>
      <c r="P92">
        <v>33.1</v>
      </c>
      <c r="Q92" t="s">
        <v>19</v>
      </c>
      <c r="S92">
        <v>35</v>
      </c>
      <c r="T92">
        <v>31.906112267087632</v>
      </c>
      <c r="U92">
        <v>5.65</v>
      </c>
      <c r="W92">
        <f t="shared" si="9"/>
        <v>13</v>
      </c>
      <c r="X92">
        <f t="shared" si="10"/>
        <v>29</v>
      </c>
      <c r="Y92">
        <f t="shared" si="11"/>
        <v>28.9</v>
      </c>
      <c r="Z92">
        <f t="shared" si="12"/>
        <v>29</v>
      </c>
      <c r="AA92">
        <f t="shared" si="13"/>
        <v>11</v>
      </c>
      <c r="AB92">
        <f t="shared" si="14"/>
        <v>264</v>
      </c>
      <c r="AC92" t="str">
        <f t="shared" si="15"/>
        <v>N</v>
      </c>
      <c r="AD92" t="str">
        <f t="shared" si="16"/>
        <v>W</v>
      </c>
      <c r="AE92">
        <f t="shared" si="17"/>
        <v>1</v>
      </c>
      <c r="AH92">
        <v>42</v>
      </c>
      <c r="AI92" t="str">
        <f t="shared" si="18"/>
        <v>BELOW 60</v>
      </c>
      <c r="AK92" t="s">
        <v>107</v>
      </c>
      <c r="AL92">
        <v>89</v>
      </c>
      <c r="AM92">
        <v>46</v>
      </c>
      <c r="AN92" t="b">
        <f t="shared" si="19"/>
        <v>0</v>
      </c>
      <c r="AO92" t="b">
        <f t="shared" si="20"/>
        <v>0</v>
      </c>
      <c r="AP92" t="str">
        <f t="shared" si="21"/>
        <v>PASS</v>
      </c>
      <c r="AQ92" t="str">
        <f t="shared" si="22"/>
        <v>PASS</v>
      </c>
    </row>
    <row r="93" spans="1:44" x14ac:dyDescent="0.25">
      <c r="A93">
        <v>17.600000000000001</v>
      </c>
      <c r="B93">
        <v>27.8</v>
      </c>
      <c r="C93">
        <v>5.2</v>
      </c>
      <c r="D93">
        <v>10.199999999999999</v>
      </c>
      <c r="E93">
        <v>3.6</v>
      </c>
      <c r="F93">
        <v>39</v>
      </c>
      <c r="G93" t="s">
        <v>24</v>
      </c>
      <c r="H93" t="s">
        <v>33</v>
      </c>
      <c r="I93">
        <v>13</v>
      </c>
      <c r="J93">
        <v>13</v>
      </c>
      <c r="K93">
        <v>66</v>
      </c>
      <c r="L93">
        <v>49</v>
      </c>
      <c r="M93">
        <v>1014.6</v>
      </c>
      <c r="N93">
        <v>1012.8</v>
      </c>
      <c r="O93">
        <v>7</v>
      </c>
      <c r="P93">
        <v>26.3</v>
      </c>
      <c r="Q93" t="s">
        <v>20</v>
      </c>
      <c r="S93">
        <v>28</v>
      </c>
      <c r="T93">
        <v>31.852786377332833</v>
      </c>
      <c r="U93">
        <v>5.64</v>
      </c>
      <c r="W93">
        <f t="shared" si="9"/>
        <v>13</v>
      </c>
      <c r="X93">
        <f t="shared" si="10"/>
        <v>35.25</v>
      </c>
      <c r="Y93">
        <f t="shared" si="11"/>
        <v>29.6</v>
      </c>
      <c r="Z93">
        <f t="shared" si="12"/>
        <v>49</v>
      </c>
      <c r="AA93">
        <f t="shared" si="13"/>
        <v>126</v>
      </c>
      <c r="AB93">
        <f t="shared" si="14"/>
        <v>131</v>
      </c>
      <c r="AC93" t="str">
        <f t="shared" si="15"/>
        <v>Y</v>
      </c>
      <c r="AD93" t="str">
        <f t="shared" si="16"/>
        <v>W</v>
      </c>
      <c r="AE93">
        <f t="shared" si="17"/>
        <v>1</v>
      </c>
      <c r="AH93">
        <v>65</v>
      </c>
      <c r="AI93" t="str">
        <f t="shared" si="18"/>
        <v>ABOVE 60</v>
      </c>
      <c r="AK93" t="s">
        <v>108</v>
      </c>
      <c r="AL93">
        <v>53</v>
      </c>
      <c r="AM93">
        <v>34</v>
      </c>
      <c r="AN93" t="b">
        <f t="shared" si="19"/>
        <v>1</v>
      </c>
      <c r="AO93" t="b">
        <f>AND(AL93&lt;35,AM93&lt;35)</f>
        <v>0</v>
      </c>
      <c r="AP93" t="str">
        <f t="shared" si="21"/>
        <v>FAIL</v>
      </c>
      <c r="AQ93" t="str">
        <f t="shared" si="22"/>
        <v>PASS</v>
      </c>
    </row>
    <row r="94" spans="1:44" x14ac:dyDescent="0.25">
      <c r="A94">
        <v>16</v>
      </c>
      <c r="B94">
        <v>23.8</v>
      </c>
      <c r="C94">
        <v>2.2000000000000002</v>
      </c>
      <c r="D94">
        <v>5.4</v>
      </c>
      <c r="E94">
        <v>6.2</v>
      </c>
      <c r="F94">
        <v>30</v>
      </c>
      <c r="G94" t="s">
        <v>29</v>
      </c>
      <c r="H94" t="s">
        <v>28</v>
      </c>
      <c r="I94">
        <v>11</v>
      </c>
      <c r="J94">
        <v>11</v>
      </c>
      <c r="K94">
        <v>73</v>
      </c>
      <c r="L94">
        <v>49</v>
      </c>
      <c r="M94">
        <v>1018.9</v>
      </c>
      <c r="N94">
        <v>1017.1</v>
      </c>
      <c r="O94">
        <v>8</v>
      </c>
      <c r="P94">
        <v>22.9</v>
      </c>
      <c r="Q94" t="s">
        <v>20</v>
      </c>
      <c r="S94">
        <v>24</v>
      </c>
      <c r="T94">
        <v>31.920213031870574</v>
      </c>
      <c r="U94">
        <v>5.65</v>
      </c>
      <c r="W94">
        <f t="shared" si="9"/>
        <v>11</v>
      </c>
      <c r="X94">
        <f t="shared" si="10"/>
        <v>36</v>
      </c>
      <c r="Y94">
        <f t="shared" si="11"/>
        <v>28.2</v>
      </c>
      <c r="Z94">
        <f t="shared" si="12"/>
        <v>49</v>
      </c>
      <c r="AA94">
        <f t="shared" si="13"/>
        <v>201</v>
      </c>
      <c r="AB94">
        <f t="shared" si="14"/>
        <v>56</v>
      </c>
      <c r="AC94" t="str">
        <f t="shared" si="15"/>
        <v>Y</v>
      </c>
      <c r="AD94" t="str">
        <f t="shared" si="16"/>
        <v>E</v>
      </c>
      <c r="AE94">
        <f t="shared" si="17"/>
        <v>2</v>
      </c>
      <c r="AH94">
        <v>87</v>
      </c>
      <c r="AI94" t="str">
        <f t="shared" si="18"/>
        <v>ABOVE 60</v>
      </c>
      <c r="AK94" t="s">
        <v>22</v>
      </c>
      <c r="AL94">
        <v>64</v>
      </c>
      <c r="AM94">
        <v>31</v>
      </c>
      <c r="AN94" t="b">
        <f t="shared" si="19"/>
        <v>1</v>
      </c>
      <c r="AO94" t="b">
        <f t="shared" si="20"/>
        <v>0</v>
      </c>
      <c r="AP94" t="str">
        <f t="shared" si="21"/>
        <v>FAIL</v>
      </c>
      <c r="AQ94" t="str">
        <f t="shared" si="22"/>
        <v>PASS</v>
      </c>
    </row>
    <row r="95" spans="1:44" x14ac:dyDescent="0.25">
      <c r="A95">
        <v>14.9</v>
      </c>
      <c r="B95">
        <v>28.8</v>
      </c>
      <c r="C95">
        <v>0</v>
      </c>
      <c r="D95">
        <v>5.8</v>
      </c>
      <c r="E95">
        <v>8.1</v>
      </c>
      <c r="F95">
        <v>30</v>
      </c>
      <c r="G95" t="s">
        <v>27</v>
      </c>
      <c r="H95" t="s">
        <v>25</v>
      </c>
      <c r="I95">
        <v>7</v>
      </c>
      <c r="J95">
        <v>11</v>
      </c>
      <c r="K95">
        <v>71</v>
      </c>
      <c r="L95">
        <v>44</v>
      </c>
      <c r="M95">
        <v>1018.2</v>
      </c>
      <c r="N95">
        <v>1014.5</v>
      </c>
      <c r="O95">
        <v>7</v>
      </c>
      <c r="P95">
        <v>27</v>
      </c>
      <c r="Q95" t="s">
        <v>19</v>
      </c>
      <c r="S95">
        <v>29</v>
      </c>
      <c r="T95">
        <v>31.909246308867907</v>
      </c>
      <c r="U95">
        <v>5.65</v>
      </c>
      <c r="W95">
        <f t="shared" si="9"/>
        <v>11</v>
      </c>
      <c r="X95">
        <f t="shared" si="10"/>
        <v>33.25</v>
      </c>
      <c r="Y95">
        <f t="shared" si="11"/>
        <v>26.1</v>
      </c>
      <c r="Z95">
        <f t="shared" si="12"/>
        <v>44</v>
      </c>
      <c r="AA95">
        <f t="shared" si="13"/>
        <v>201</v>
      </c>
      <c r="AB95">
        <f t="shared" si="14"/>
        <v>56</v>
      </c>
      <c r="AC95" t="str">
        <f t="shared" si="15"/>
        <v>N</v>
      </c>
      <c r="AD95" t="str">
        <f t="shared" si="16"/>
        <v>E</v>
      </c>
      <c r="AE95">
        <f t="shared" si="17"/>
        <v>3</v>
      </c>
      <c r="AH95">
        <v>86</v>
      </c>
      <c r="AI95" t="str">
        <f t="shared" si="18"/>
        <v>ABOVE 60</v>
      </c>
      <c r="AK95" t="s">
        <v>109</v>
      </c>
      <c r="AL95">
        <v>13</v>
      </c>
      <c r="AM95">
        <v>23</v>
      </c>
      <c r="AN95" t="b">
        <f t="shared" si="19"/>
        <v>1</v>
      </c>
      <c r="AO95" t="b">
        <f t="shared" si="20"/>
        <v>1</v>
      </c>
      <c r="AP95" t="str">
        <f t="shared" si="21"/>
        <v>FAIL</v>
      </c>
      <c r="AQ95" t="str">
        <f t="shared" si="22"/>
        <v>FAIL</v>
      </c>
    </row>
    <row r="96" spans="1:44" x14ac:dyDescent="0.25">
      <c r="A96">
        <v>17.100000000000001</v>
      </c>
      <c r="B96">
        <v>29.6</v>
      </c>
      <c r="C96">
        <v>0</v>
      </c>
      <c r="D96">
        <v>5.8</v>
      </c>
      <c r="E96">
        <v>9.1999999999999993</v>
      </c>
      <c r="F96">
        <v>48</v>
      </c>
      <c r="G96" t="s">
        <v>29</v>
      </c>
      <c r="H96" t="s">
        <v>28</v>
      </c>
      <c r="I96">
        <v>9</v>
      </c>
      <c r="J96">
        <v>17</v>
      </c>
      <c r="K96">
        <v>67</v>
      </c>
      <c r="L96">
        <v>38</v>
      </c>
      <c r="M96">
        <v>1016.7</v>
      </c>
      <c r="N96">
        <v>1012.8</v>
      </c>
      <c r="O96">
        <v>6</v>
      </c>
      <c r="P96">
        <v>29.1</v>
      </c>
      <c r="Q96" t="s">
        <v>19</v>
      </c>
      <c r="S96">
        <v>30</v>
      </c>
      <c r="T96">
        <v>31.885733486937383</v>
      </c>
      <c r="U96">
        <v>5.65</v>
      </c>
      <c r="W96">
        <f t="shared" si="9"/>
        <v>17</v>
      </c>
      <c r="X96">
        <f t="shared" si="10"/>
        <v>32.75</v>
      </c>
      <c r="Y96">
        <f t="shared" si="11"/>
        <v>35.200000000000003</v>
      </c>
      <c r="Z96">
        <f t="shared" si="12"/>
        <v>38</v>
      </c>
      <c r="AA96">
        <f t="shared" si="13"/>
        <v>52</v>
      </c>
      <c r="AB96">
        <f t="shared" si="14"/>
        <v>205</v>
      </c>
      <c r="AC96" t="str">
        <f t="shared" si="15"/>
        <v>N</v>
      </c>
      <c r="AD96" t="str">
        <f t="shared" si="16"/>
        <v>E</v>
      </c>
      <c r="AE96">
        <f t="shared" si="17"/>
        <v>2</v>
      </c>
      <c r="AH96">
        <v>45</v>
      </c>
      <c r="AI96" t="str">
        <f t="shared" si="18"/>
        <v>BELOW 60</v>
      </c>
    </row>
    <row r="97" spans="1:37" x14ac:dyDescent="0.25">
      <c r="A97">
        <v>18.2</v>
      </c>
      <c r="B97">
        <v>22.6</v>
      </c>
      <c r="C97">
        <v>1.8</v>
      </c>
      <c r="D97">
        <v>8</v>
      </c>
      <c r="E97">
        <v>0</v>
      </c>
      <c r="F97">
        <v>33</v>
      </c>
      <c r="G97" t="s">
        <v>27</v>
      </c>
      <c r="H97" t="s">
        <v>21</v>
      </c>
      <c r="I97">
        <v>7</v>
      </c>
      <c r="J97">
        <v>13</v>
      </c>
      <c r="K97">
        <v>92</v>
      </c>
      <c r="L97">
        <v>76</v>
      </c>
      <c r="M97">
        <v>1014.4</v>
      </c>
      <c r="N97">
        <v>1011.5</v>
      </c>
      <c r="O97">
        <v>8</v>
      </c>
      <c r="P97">
        <v>22.1</v>
      </c>
      <c r="Q97" t="s">
        <v>20</v>
      </c>
      <c r="S97">
        <v>23</v>
      </c>
      <c r="T97">
        <v>31.849646779831012</v>
      </c>
      <c r="U97">
        <v>5.64</v>
      </c>
      <c r="W97">
        <f t="shared" si="9"/>
        <v>13</v>
      </c>
      <c r="X97">
        <f t="shared" si="10"/>
        <v>47</v>
      </c>
      <c r="Y97">
        <f t="shared" si="11"/>
        <v>20</v>
      </c>
      <c r="Z97">
        <f t="shared" si="12"/>
        <v>76</v>
      </c>
      <c r="AA97">
        <f t="shared" si="13"/>
        <v>159</v>
      </c>
      <c r="AB97">
        <f t="shared" si="14"/>
        <v>98</v>
      </c>
      <c r="AC97" t="str">
        <f t="shared" si="15"/>
        <v>Y</v>
      </c>
      <c r="AD97" t="str">
        <f t="shared" si="16"/>
        <v>E</v>
      </c>
      <c r="AE97">
        <f t="shared" si="17"/>
        <v>3</v>
      </c>
    </row>
    <row r="98" spans="1:37" x14ac:dyDescent="0.25">
      <c r="A98">
        <v>16.8</v>
      </c>
      <c r="B98">
        <v>22.8</v>
      </c>
      <c r="C98">
        <v>9</v>
      </c>
      <c r="D98">
        <v>2.8</v>
      </c>
      <c r="E98">
        <v>0.3</v>
      </c>
      <c r="F98">
        <v>30</v>
      </c>
      <c r="G98" t="s">
        <v>30</v>
      </c>
      <c r="H98" t="s">
        <v>27</v>
      </c>
      <c r="I98">
        <v>7</v>
      </c>
      <c r="J98">
        <v>11</v>
      </c>
      <c r="K98">
        <v>88</v>
      </c>
      <c r="L98">
        <v>71</v>
      </c>
      <c r="M98">
        <v>1010</v>
      </c>
      <c r="N98">
        <v>1007.8</v>
      </c>
      <c r="O98">
        <v>8</v>
      </c>
      <c r="P98">
        <v>21.5</v>
      </c>
      <c r="Q98" t="s">
        <v>20</v>
      </c>
      <c r="S98">
        <v>23</v>
      </c>
      <c r="T98">
        <v>31.780497164141408</v>
      </c>
      <c r="U98">
        <v>5.64</v>
      </c>
      <c r="W98">
        <f t="shared" si="9"/>
        <v>11</v>
      </c>
      <c r="X98">
        <f t="shared" si="10"/>
        <v>44.25</v>
      </c>
      <c r="Y98">
        <f t="shared" si="11"/>
        <v>18.3</v>
      </c>
      <c r="Z98">
        <f t="shared" si="12"/>
        <v>71</v>
      </c>
      <c r="AA98">
        <f t="shared" si="13"/>
        <v>199</v>
      </c>
      <c r="AB98">
        <f t="shared" si="14"/>
        <v>56</v>
      </c>
      <c r="AC98" t="str">
        <f t="shared" si="15"/>
        <v>Y</v>
      </c>
      <c r="AD98" t="str">
        <f t="shared" si="16"/>
        <v>E</v>
      </c>
      <c r="AE98">
        <f t="shared" si="17"/>
        <v>1</v>
      </c>
      <c r="AK98" s="6" t="s">
        <v>111</v>
      </c>
    </row>
    <row r="99" spans="1:37" x14ac:dyDescent="0.25">
      <c r="A99">
        <v>13.6</v>
      </c>
      <c r="B99">
        <v>27.4</v>
      </c>
      <c r="C99">
        <v>1</v>
      </c>
      <c r="D99">
        <v>2.8</v>
      </c>
      <c r="E99">
        <v>8</v>
      </c>
      <c r="F99">
        <v>52</v>
      </c>
      <c r="G99" t="s">
        <v>17</v>
      </c>
      <c r="H99" t="s">
        <v>26</v>
      </c>
      <c r="I99">
        <v>6</v>
      </c>
      <c r="J99">
        <v>24</v>
      </c>
      <c r="K99">
        <v>77</v>
      </c>
      <c r="L99">
        <v>41</v>
      </c>
      <c r="M99">
        <v>1002.1</v>
      </c>
      <c r="N99">
        <v>997.5</v>
      </c>
      <c r="O99">
        <v>4</v>
      </c>
      <c r="P99">
        <v>26.5</v>
      </c>
      <c r="Q99" t="s">
        <v>19</v>
      </c>
      <c r="S99">
        <v>27</v>
      </c>
      <c r="T99">
        <v>31.65596310333963</v>
      </c>
      <c r="U99">
        <v>5.63</v>
      </c>
      <c r="W99">
        <f t="shared" si="9"/>
        <v>24</v>
      </c>
      <c r="X99">
        <f t="shared" si="10"/>
        <v>37</v>
      </c>
      <c r="Y99">
        <f t="shared" si="11"/>
        <v>38</v>
      </c>
      <c r="Z99">
        <f t="shared" si="12"/>
        <v>41</v>
      </c>
      <c r="AA99">
        <f t="shared" si="13"/>
        <v>36</v>
      </c>
      <c r="AB99">
        <f t="shared" si="14"/>
        <v>226</v>
      </c>
      <c r="AC99" t="str">
        <f t="shared" si="15"/>
        <v>N</v>
      </c>
      <c r="AD99" t="str">
        <f t="shared" si="16"/>
        <v>W</v>
      </c>
      <c r="AE99">
        <f t="shared" si="17"/>
        <v>2</v>
      </c>
      <c r="AH99" s="6" t="s">
        <v>96</v>
      </c>
      <c r="AI99" s="6" t="s">
        <v>97</v>
      </c>
      <c r="AK99" t="b">
        <f>ISERROR(10/0)</f>
        <v>1</v>
      </c>
    </row>
    <row r="100" spans="1:37" x14ac:dyDescent="0.25">
      <c r="A100">
        <v>14.5</v>
      </c>
      <c r="B100">
        <v>24.2</v>
      </c>
      <c r="C100">
        <v>0</v>
      </c>
      <c r="D100">
        <v>6.8</v>
      </c>
      <c r="E100">
        <v>5.9</v>
      </c>
      <c r="F100">
        <v>61</v>
      </c>
      <c r="G100" t="s">
        <v>24</v>
      </c>
      <c r="H100" t="s">
        <v>33</v>
      </c>
      <c r="I100">
        <v>11</v>
      </c>
      <c r="J100">
        <v>20</v>
      </c>
      <c r="K100">
        <v>76</v>
      </c>
      <c r="L100">
        <v>76</v>
      </c>
      <c r="M100">
        <v>999.4</v>
      </c>
      <c r="N100">
        <v>998.9</v>
      </c>
      <c r="O100">
        <v>7</v>
      </c>
      <c r="P100">
        <v>20.3</v>
      </c>
      <c r="Q100" t="s">
        <v>19</v>
      </c>
      <c r="S100">
        <v>24</v>
      </c>
      <c r="T100">
        <v>31.613288345251274</v>
      </c>
      <c r="U100">
        <v>5.62</v>
      </c>
      <c r="W100">
        <f t="shared" si="9"/>
        <v>20</v>
      </c>
      <c r="X100">
        <f t="shared" si="10"/>
        <v>45.75</v>
      </c>
      <c r="Y100">
        <f t="shared" si="11"/>
        <v>36.9</v>
      </c>
      <c r="Z100">
        <f t="shared" si="12"/>
        <v>76</v>
      </c>
      <c r="AA100">
        <f t="shared" si="13"/>
        <v>19</v>
      </c>
      <c r="AB100">
        <f t="shared" si="14"/>
        <v>247</v>
      </c>
      <c r="AC100" t="str">
        <f t="shared" si="15"/>
        <v>N</v>
      </c>
      <c r="AD100" t="str">
        <f t="shared" si="16"/>
        <v>W</v>
      </c>
      <c r="AE100">
        <f t="shared" si="17"/>
        <v>1</v>
      </c>
      <c r="AH100">
        <v>41</v>
      </c>
      <c r="AI100" t="str">
        <f>IF(AH100&gt;80,"ABOVE 80",IF(AH100&gt;60,"61-80",IF(AH100&gt;40,"41-60","BELOW 40")))</f>
        <v>41-60</v>
      </c>
      <c r="AK100" t="s">
        <v>110</v>
      </c>
    </row>
    <row r="101" spans="1:37" x14ac:dyDescent="0.25">
      <c r="A101">
        <v>12.4</v>
      </c>
      <c r="B101">
        <v>19.899999999999999</v>
      </c>
      <c r="C101">
        <v>16.2</v>
      </c>
      <c r="D101">
        <v>5.4</v>
      </c>
      <c r="E101">
        <v>5.6</v>
      </c>
      <c r="F101">
        <v>41</v>
      </c>
      <c r="G101" t="s">
        <v>28</v>
      </c>
      <c r="H101" t="s">
        <v>28</v>
      </c>
      <c r="I101">
        <v>7</v>
      </c>
      <c r="J101">
        <v>20</v>
      </c>
      <c r="K101">
        <v>75</v>
      </c>
      <c r="L101">
        <v>58</v>
      </c>
      <c r="M101">
        <v>1007.6</v>
      </c>
      <c r="N101">
        <v>1005</v>
      </c>
      <c r="O101">
        <v>7</v>
      </c>
      <c r="P101">
        <v>18.7</v>
      </c>
      <c r="Q101" t="s">
        <v>20</v>
      </c>
      <c r="S101">
        <v>20</v>
      </c>
      <c r="T101">
        <v>31.742715699826316</v>
      </c>
      <c r="U101">
        <v>5.63</v>
      </c>
      <c r="W101">
        <f t="shared" si="9"/>
        <v>20</v>
      </c>
      <c r="X101">
        <f t="shared" si="10"/>
        <v>40</v>
      </c>
      <c r="Y101">
        <f t="shared" si="11"/>
        <v>32.6</v>
      </c>
      <c r="Z101">
        <f t="shared" si="12"/>
        <v>58</v>
      </c>
      <c r="AA101">
        <f t="shared" si="13"/>
        <v>105</v>
      </c>
      <c r="AB101">
        <f t="shared" si="14"/>
        <v>144</v>
      </c>
      <c r="AC101" t="str">
        <f t="shared" si="15"/>
        <v>Y</v>
      </c>
      <c r="AD101" t="str">
        <f t="shared" si="16"/>
        <v>E</v>
      </c>
      <c r="AE101">
        <f t="shared" si="17"/>
        <v>3</v>
      </c>
      <c r="AH101">
        <v>45</v>
      </c>
      <c r="AI101" t="str">
        <f t="shared" ref="AI101:AI105" si="23">IF(AH101&gt;80,"ABOVE 80",IF(AH101&gt;60,"61-80",IF(AH101&gt;40,"41-60","BELOW 40")))</f>
        <v>41-60</v>
      </c>
    </row>
    <row r="102" spans="1:37" x14ac:dyDescent="0.25">
      <c r="A102">
        <v>10.4</v>
      </c>
      <c r="B102">
        <v>20.9</v>
      </c>
      <c r="C102">
        <v>0</v>
      </c>
      <c r="D102">
        <v>4</v>
      </c>
      <c r="E102">
        <v>8.9</v>
      </c>
      <c r="F102">
        <v>33</v>
      </c>
      <c r="G102" t="s">
        <v>30</v>
      </c>
      <c r="H102" t="s">
        <v>30</v>
      </c>
      <c r="I102">
        <v>15</v>
      </c>
      <c r="J102">
        <v>17</v>
      </c>
      <c r="K102">
        <v>65</v>
      </c>
      <c r="L102">
        <v>51</v>
      </c>
      <c r="M102">
        <v>1007.7</v>
      </c>
      <c r="N102">
        <v>1006.8</v>
      </c>
      <c r="O102">
        <v>6</v>
      </c>
      <c r="P102">
        <v>18.7</v>
      </c>
      <c r="Q102" t="s">
        <v>19</v>
      </c>
      <c r="S102">
        <v>21</v>
      </c>
      <c r="T102">
        <v>31.744290825280693</v>
      </c>
      <c r="U102">
        <v>5.63</v>
      </c>
      <c r="W102">
        <f t="shared" si="9"/>
        <v>17</v>
      </c>
      <c r="X102">
        <f t="shared" si="10"/>
        <v>37</v>
      </c>
      <c r="Y102">
        <f t="shared" si="11"/>
        <v>40.9</v>
      </c>
      <c r="Z102">
        <f t="shared" si="12"/>
        <v>51</v>
      </c>
      <c r="AA102">
        <f t="shared" si="13"/>
        <v>156</v>
      </c>
      <c r="AB102">
        <f t="shared" si="14"/>
        <v>97</v>
      </c>
      <c r="AC102" t="str">
        <f t="shared" si="15"/>
        <v>N</v>
      </c>
      <c r="AD102" t="str">
        <f t="shared" si="16"/>
        <v>S</v>
      </c>
      <c r="AE102">
        <f t="shared" si="17"/>
        <v>1</v>
      </c>
      <c r="AH102">
        <v>22</v>
      </c>
      <c r="AI102" t="str">
        <f t="shared" si="23"/>
        <v>BELOW 40</v>
      </c>
    </row>
    <row r="103" spans="1:37" x14ac:dyDescent="0.25">
      <c r="A103">
        <v>9.1</v>
      </c>
      <c r="B103">
        <v>23.1</v>
      </c>
      <c r="C103">
        <v>0</v>
      </c>
      <c r="D103">
        <v>5.8</v>
      </c>
      <c r="E103">
        <v>9.6</v>
      </c>
      <c r="F103">
        <v>41</v>
      </c>
      <c r="G103" t="s">
        <v>27</v>
      </c>
      <c r="H103" t="s">
        <v>23</v>
      </c>
      <c r="I103">
        <v>17</v>
      </c>
      <c r="J103">
        <v>13</v>
      </c>
      <c r="K103">
        <v>66</v>
      </c>
      <c r="L103">
        <v>37</v>
      </c>
      <c r="M103">
        <v>1013.6</v>
      </c>
      <c r="N103">
        <v>1011.4</v>
      </c>
      <c r="O103">
        <v>1</v>
      </c>
      <c r="P103">
        <v>21.4</v>
      </c>
      <c r="Q103" t="s">
        <v>19</v>
      </c>
      <c r="S103">
        <v>23</v>
      </c>
      <c r="T103">
        <v>31.837085293726247</v>
      </c>
      <c r="U103">
        <v>5.64</v>
      </c>
      <c r="W103">
        <f t="shared" si="9"/>
        <v>17</v>
      </c>
      <c r="X103">
        <f t="shared" si="10"/>
        <v>33.25</v>
      </c>
      <c r="Y103">
        <f t="shared" si="11"/>
        <v>39.6</v>
      </c>
      <c r="Z103">
        <f t="shared" si="12"/>
        <v>37</v>
      </c>
      <c r="AA103">
        <f t="shared" si="13"/>
        <v>105</v>
      </c>
      <c r="AB103">
        <f t="shared" si="14"/>
        <v>143</v>
      </c>
      <c r="AC103" t="str">
        <f t="shared" si="15"/>
        <v>N</v>
      </c>
      <c r="AD103" t="str">
        <f t="shared" si="16"/>
        <v>W</v>
      </c>
      <c r="AE103">
        <f t="shared" si="17"/>
        <v>3</v>
      </c>
      <c r="AH103">
        <v>67</v>
      </c>
      <c r="AI103" t="str">
        <f t="shared" si="23"/>
        <v>61-80</v>
      </c>
    </row>
    <row r="104" spans="1:37" x14ac:dyDescent="0.25">
      <c r="A104">
        <v>8.9</v>
      </c>
      <c r="B104">
        <v>26</v>
      </c>
      <c r="C104">
        <v>0</v>
      </c>
      <c r="D104">
        <v>5</v>
      </c>
      <c r="E104">
        <v>10.7</v>
      </c>
      <c r="F104">
        <v>31</v>
      </c>
      <c r="G104" t="s">
        <v>29</v>
      </c>
      <c r="H104" t="s">
        <v>32</v>
      </c>
      <c r="I104">
        <v>7</v>
      </c>
      <c r="J104">
        <v>13</v>
      </c>
      <c r="K104">
        <v>74</v>
      </c>
      <c r="L104">
        <v>34</v>
      </c>
      <c r="M104">
        <v>1016.1</v>
      </c>
      <c r="N104">
        <v>1011.7</v>
      </c>
      <c r="O104">
        <v>1</v>
      </c>
      <c r="P104">
        <v>24.2</v>
      </c>
      <c r="Q104" t="s">
        <v>19</v>
      </c>
      <c r="S104">
        <v>26</v>
      </c>
      <c r="T104">
        <v>31.876323501934788</v>
      </c>
      <c r="U104">
        <v>5.65</v>
      </c>
      <c r="W104">
        <f t="shared" si="9"/>
        <v>13</v>
      </c>
      <c r="X104">
        <f t="shared" si="10"/>
        <v>32</v>
      </c>
      <c r="Y104">
        <f t="shared" si="11"/>
        <v>30.7</v>
      </c>
      <c r="Z104">
        <f t="shared" si="12"/>
        <v>34</v>
      </c>
      <c r="AA104">
        <f t="shared" si="13"/>
        <v>167</v>
      </c>
      <c r="AB104">
        <f t="shared" si="14"/>
        <v>70</v>
      </c>
      <c r="AC104" t="str">
        <f t="shared" si="15"/>
        <v>N</v>
      </c>
      <c r="AD104" t="str">
        <f t="shared" si="16"/>
        <v>E</v>
      </c>
      <c r="AE104">
        <f t="shared" si="17"/>
        <v>2</v>
      </c>
      <c r="AH104">
        <v>89</v>
      </c>
      <c r="AI104" t="str">
        <f t="shared" si="23"/>
        <v>ABOVE 80</v>
      </c>
    </row>
    <row r="105" spans="1:37" x14ac:dyDescent="0.25">
      <c r="A105">
        <v>14.5</v>
      </c>
      <c r="B105">
        <v>24.2</v>
      </c>
      <c r="C105">
        <v>4.4000000000000004</v>
      </c>
      <c r="D105">
        <v>6.6</v>
      </c>
      <c r="E105">
        <v>5.9</v>
      </c>
      <c r="F105">
        <v>48</v>
      </c>
      <c r="G105" t="s">
        <v>33</v>
      </c>
      <c r="H105" t="s">
        <v>26</v>
      </c>
      <c r="I105">
        <v>9</v>
      </c>
      <c r="J105">
        <v>17</v>
      </c>
      <c r="K105">
        <v>95</v>
      </c>
      <c r="L105">
        <v>60</v>
      </c>
      <c r="M105">
        <v>1010.8</v>
      </c>
      <c r="N105">
        <v>1006.8</v>
      </c>
      <c r="O105">
        <v>8</v>
      </c>
      <c r="P105">
        <v>22.6</v>
      </c>
      <c r="Q105" t="s">
        <v>20</v>
      </c>
      <c r="S105">
        <v>24</v>
      </c>
      <c r="T105">
        <v>31.79308100829487</v>
      </c>
      <c r="U105">
        <v>5.64</v>
      </c>
      <c r="W105">
        <f t="shared" si="9"/>
        <v>17</v>
      </c>
      <c r="X105">
        <f t="shared" si="10"/>
        <v>45.25</v>
      </c>
      <c r="Y105">
        <f t="shared" si="11"/>
        <v>31.9</v>
      </c>
      <c r="Z105">
        <f t="shared" si="12"/>
        <v>60</v>
      </c>
      <c r="AA105">
        <f t="shared" si="13"/>
        <v>50</v>
      </c>
      <c r="AB105">
        <f t="shared" si="14"/>
        <v>199</v>
      </c>
      <c r="AC105" t="str">
        <f t="shared" si="15"/>
        <v>Y</v>
      </c>
      <c r="AD105" t="str">
        <f t="shared" si="16"/>
        <v>W</v>
      </c>
      <c r="AE105">
        <f t="shared" si="17"/>
        <v>3</v>
      </c>
      <c r="AH105">
        <v>43</v>
      </c>
      <c r="AI105" t="str">
        <f t="shared" si="23"/>
        <v>41-60</v>
      </c>
    </row>
    <row r="106" spans="1:37" x14ac:dyDescent="0.25">
      <c r="A106">
        <v>12.6</v>
      </c>
      <c r="B106">
        <v>18.2</v>
      </c>
      <c r="C106">
        <v>11</v>
      </c>
      <c r="D106">
        <v>3.2</v>
      </c>
      <c r="E106">
        <v>0.4</v>
      </c>
      <c r="F106">
        <v>30</v>
      </c>
      <c r="G106" t="s">
        <v>27</v>
      </c>
      <c r="H106" t="s">
        <v>27</v>
      </c>
      <c r="I106">
        <v>13</v>
      </c>
      <c r="J106">
        <v>15</v>
      </c>
      <c r="K106">
        <v>81</v>
      </c>
      <c r="L106">
        <v>73</v>
      </c>
      <c r="M106">
        <v>1010</v>
      </c>
      <c r="N106">
        <v>1011</v>
      </c>
      <c r="O106">
        <v>7</v>
      </c>
      <c r="P106">
        <v>16.8</v>
      </c>
      <c r="Q106" t="s">
        <v>20</v>
      </c>
      <c r="S106">
        <v>18</v>
      </c>
      <c r="T106">
        <v>31.780497164141408</v>
      </c>
      <c r="U106">
        <v>5.64</v>
      </c>
      <c r="W106">
        <f t="shared" si="9"/>
        <v>15</v>
      </c>
      <c r="X106">
        <f t="shared" si="10"/>
        <v>45.5</v>
      </c>
      <c r="Y106">
        <f t="shared" si="11"/>
        <v>28.4</v>
      </c>
      <c r="Z106">
        <f t="shared" si="12"/>
        <v>73</v>
      </c>
      <c r="AA106">
        <f t="shared" si="13"/>
        <v>192</v>
      </c>
      <c r="AB106">
        <f t="shared" si="14"/>
        <v>56</v>
      </c>
      <c r="AC106" t="str">
        <f t="shared" si="15"/>
        <v>Y</v>
      </c>
      <c r="AD106" t="str">
        <f t="shared" si="16"/>
        <v>E</v>
      </c>
      <c r="AE106">
        <f t="shared" si="17"/>
        <v>3</v>
      </c>
    </row>
    <row r="107" spans="1:37" x14ac:dyDescent="0.25">
      <c r="A107">
        <v>8.6</v>
      </c>
      <c r="B107">
        <v>24.2</v>
      </c>
      <c r="C107">
        <v>0.2</v>
      </c>
      <c r="D107">
        <v>2.8</v>
      </c>
      <c r="E107">
        <v>12.7</v>
      </c>
      <c r="F107">
        <v>33</v>
      </c>
      <c r="G107" t="s">
        <v>30</v>
      </c>
      <c r="H107" t="s">
        <v>29</v>
      </c>
      <c r="I107">
        <v>11</v>
      </c>
      <c r="J107">
        <v>9</v>
      </c>
      <c r="K107">
        <v>63</v>
      </c>
      <c r="L107">
        <v>37</v>
      </c>
      <c r="M107">
        <v>1017.5</v>
      </c>
      <c r="N107">
        <v>1015.1</v>
      </c>
      <c r="O107">
        <v>1</v>
      </c>
      <c r="P107">
        <v>22</v>
      </c>
      <c r="Q107" t="s">
        <v>19</v>
      </c>
      <c r="S107">
        <v>24</v>
      </c>
      <c r="T107">
        <v>31.898275815473163</v>
      </c>
      <c r="U107">
        <v>5.65</v>
      </c>
      <c r="W107">
        <f t="shared" si="9"/>
        <v>11</v>
      </c>
      <c r="X107">
        <f t="shared" si="10"/>
        <v>30</v>
      </c>
      <c r="Y107">
        <f t="shared" si="11"/>
        <v>32.700000000000003</v>
      </c>
      <c r="Z107">
        <f t="shared" si="12"/>
        <v>37</v>
      </c>
      <c r="AA107">
        <f t="shared" si="13"/>
        <v>154</v>
      </c>
      <c r="AB107">
        <f t="shared" si="14"/>
        <v>95</v>
      </c>
      <c r="AC107" t="str">
        <f t="shared" si="15"/>
        <v>N</v>
      </c>
      <c r="AD107" t="str">
        <f t="shared" si="16"/>
        <v>E</v>
      </c>
      <c r="AE107">
        <f t="shared" si="17"/>
        <v>1</v>
      </c>
    </row>
    <row r="108" spans="1:37" x14ac:dyDescent="0.25">
      <c r="A108">
        <v>10.8</v>
      </c>
      <c r="B108">
        <v>25.2</v>
      </c>
      <c r="C108">
        <v>0</v>
      </c>
      <c r="D108">
        <v>5.6</v>
      </c>
      <c r="E108">
        <v>12.6</v>
      </c>
      <c r="F108">
        <v>35</v>
      </c>
      <c r="G108" t="s">
        <v>29</v>
      </c>
      <c r="H108" t="s">
        <v>22</v>
      </c>
      <c r="I108">
        <v>7</v>
      </c>
      <c r="J108">
        <v>7</v>
      </c>
      <c r="K108">
        <v>69</v>
      </c>
      <c r="L108">
        <v>32</v>
      </c>
      <c r="M108">
        <v>1020.2</v>
      </c>
      <c r="N108">
        <v>1016.7</v>
      </c>
      <c r="O108">
        <v>1</v>
      </c>
      <c r="P108">
        <v>24.3</v>
      </c>
      <c r="Q108" t="s">
        <v>19</v>
      </c>
      <c r="S108">
        <v>25</v>
      </c>
      <c r="T108">
        <v>31.94056981332675</v>
      </c>
      <c r="U108">
        <v>5.65</v>
      </c>
      <c r="W108">
        <f t="shared" si="9"/>
        <v>7</v>
      </c>
      <c r="X108">
        <f t="shared" si="10"/>
        <v>28.75</v>
      </c>
      <c r="Y108">
        <f t="shared" si="11"/>
        <v>26.6</v>
      </c>
      <c r="Z108">
        <f t="shared" si="12"/>
        <v>32</v>
      </c>
      <c r="AA108">
        <f t="shared" si="13"/>
        <v>137</v>
      </c>
      <c r="AB108">
        <f t="shared" si="14"/>
        <v>106</v>
      </c>
      <c r="AC108" t="str">
        <f t="shared" si="15"/>
        <v>N</v>
      </c>
      <c r="AD108" t="str">
        <f t="shared" si="16"/>
        <v>E</v>
      </c>
      <c r="AE108">
        <f t="shared" si="17"/>
        <v>2</v>
      </c>
    </row>
    <row r="109" spans="1:37" x14ac:dyDescent="0.25">
      <c r="A109">
        <v>11.2</v>
      </c>
      <c r="B109">
        <v>26.1</v>
      </c>
      <c r="C109">
        <v>0</v>
      </c>
      <c r="D109">
        <v>7.2</v>
      </c>
      <c r="E109">
        <v>12.6</v>
      </c>
      <c r="F109">
        <v>39</v>
      </c>
      <c r="G109" t="s">
        <v>29</v>
      </c>
      <c r="H109" t="s">
        <v>22</v>
      </c>
      <c r="I109">
        <v>7</v>
      </c>
      <c r="J109">
        <v>19</v>
      </c>
      <c r="K109">
        <v>71</v>
      </c>
      <c r="L109">
        <v>40</v>
      </c>
      <c r="M109">
        <v>1022.9</v>
      </c>
      <c r="N109">
        <v>1020</v>
      </c>
      <c r="O109">
        <v>1</v>
      </c>
      <c r="P109">
        <v>24.7</v>
      </c>
      <c r="Q109" t="s">
        <v>19</v>
      </c>
      <c r="S109">
        <v>26</v>
      </c>
      <c r="T109">
        <v>31.982807881735461</v>
      </c>
      <c r="U109">
        <v>5.66</v>
      </c>
      <c r="W109">
        <f t="shared" si="9"/>
        <v>19</v>
      </c>
      <c r="X109">
        <f t="shared" si="10"/>
        <v>34.25</v>
      </c>
      <c r="Y109">
        <f t="shared" si="11"/>
        <v>38.6</v>
      </c>
      <c r="Z109">
        <f t="shared" si="12"/>
        <v>40</v>
      </c>
      <c r="AA109">
        <f t="shared" si="13"/>
        <v>120</v>
      </c>
      <c r="AB109">
        <f t="shared" si="14"/>
        <v>122</v>
      </c>
      <c r="AC109" t="str">
        <f t="shared" si="15"/>
        <v>N</v>
      </c>
      <c r="AD109" t="str">
        <f t="shared" si="16"/>
        <v>E</v>
      </c>
      <c r="AE109">
        <f t="shared" si="17"/>
        <v>2</v>
      </c>
    </row>
    <row r="110" spans="1:37" x14ac:dyDescent="0.25">
      <c r="A110">
        <v>12.1</v>
      </c>
      <c r="B110">
        <v>24.1</v>
      </c>
      <c r="C110">
        <v>0</v>
      </c>
      <c r="D110">
        <v>7.4</v>
      </c>
      <c r="E110">
        <v>10.199999999999999</v>
      </c>
      <c r="F110">
        <v>46</v>
      </c>
      <c r="G110" t="s">
        <v>28</v>
      </c>
      <c r="H110" t="s">
        <v>25</v>
      </c>
      <c r="I110">
        <v>9</v>
      </c>
      <c r="J110">
        <v>13</v>
      </c>
      <c r="K110">
        <v>64</v>
      </c>
      <c r="L110">
        <v>46</v>
      </c>
      <c r="M110">
        <v>1025.2</v>
      </c>
      <c r="N110">
        <v>1021.4</v>
      </c>
      <c r="O110">
        <v>7</v>
      </c>
      <c r="P110">
        <v>22.5</v>
      </c>
      <c r="Q110" t="s">
        <v>19</v>
      </c>
      <c r="S110">
        <v>24</v>
      </c>
      <c r="T110">
        <v>32.018744510052237</v>
      </c>
      <c r="U110">
        <v>5.66</v>
      </c>
      <c r="W110">
        <f t="shared" si="9"/>
        <v>13</v>
      </c>
      <c r="X110">
        <f t="shared" si="10"/>
        <v>33</v>
      </c>
      <c r="Y110">
        <f t="shared" si="11"/>
        <v>32.200000000000003</v>
      </c>
      <c r="Z110">
        <f t="shared" si="12"/>
        <v>46</v>
      </c>
      <c r="AA110">
        <f t="shared" si="13"/>
        <v>63</v>
      </c>
      <c r="AB110">
        <f t="shared" si="14"/>
        <v>178</v>
      </c>
      <c r="AC110" t="str">
        <f t="shared" si="15"/>
        <v>N</v>
      </c>
      <c r="AD110" t="str">
        <f t="shared" si="16"/>
        <v>E</v>
      </c>
      <c r="AE110">
        <f t="shared" si="17"/>
        <v>3</v>
      </c>
    </row>
    <row r="111" spans="1:37" x14ac:dyDescent="0.25">
      <c r="A111">
        <v>10.8</v>
      </c>
      <c r="B111">
        <v>25.8</v>
      </c>
      <c r="C111">
        <v>0</v>
      </c>
      <c r="D111">
        <v>6.8</v>
      </c>
      <c r="E111">
        <v>11.7</v>
      </c>
      <c r="F111">
        <v>31</v>
      </c>
      <c r="G111" t="s">
        <v>30</v>
      </c>
      <c r="H111" t="s">
        <v>25</v>
      </c>
      <c r="I111">
        <v>7</v>
      </c>
      <c r="J111">
        <v>11</v>
      </c>
      <c r="K111">
        <v>72</v>
      </c>
      <c r="L111">
        <v>42</v>
      </c>
      <c r="M111">
        <v>1021.3</v>
      </c>
      <c r="N111">
        <v>1017.4</v>
      </c>
      <c r="O111">
        <v>5</v>
      </c>
      <c r="P111">
        <v>24.1</v>
      </c>
      <c r="Q111" t="s">
        <v>19</v>
      </c>
      <c r="S111">
        <v>26</v>
      </c>
      <c r="T111">
        <v>31.95778465413396</v>
      </c>
      <c r="U111">
        <v>5.65</v>
      </c>
      <c r="W111">
        <f t="shared" si="9"/>
        <v>11</v>
      </c>
      <c r="X111">
        <f t="shared" si="10"/>
        <v>33</v>
      </c>
      <c r="Y111">
        <f t="shared" si="11"/>
        <v>29.7</v>
      </c>
      <c r="Z111">
        <f t="shared" si="12"/>
        <v>42</v>
      </c>
      <c r="AA111">
        <f t="shared" si="13"/>
        <v>162</v>
      </c>
      <c r="AB111">
        <f t="shared" si="14"/>
        <v>69</v>
      </c>
      <c r="AC111" t="str">
        <f t="shared" si="15"/>
        <v>N</v>
      </c>
      <c r="AD111" t="str">
        <f t="shared" si="16"/>
        <v>E</v>
      </c>
      <c r="AE111">
        <f t="shared" si="17"/>
        <v>1</v>
      </c>
    </row>
    <row r="112" spans="1:37" x14ac:dyDescent="0.25">
      <c r="A112">
        <v>11.4</v>
      </c>
      <c r="B112">
        <v>27.1</v>
      </c>
      <c r="C112">
        <v>0</v>
      </c>
      <c r="D112">
        <v>5.6</v>
      </c>
      <c r="E112">
        <v>12.1</v>
      </c>
      <c r="F112">
        <v>33</v>
      </c>
      <c r="G112" t="s">
        <v>28</v>
      </c>
      <c r="H112" t="s">
        <v>29</v>
      </c>
      <c r="I112">
        <v>6</v>
      </c>
      <c r="J112">
        <v>15</v>
      </c>
      <c r="K112">
        <v>69</v>
      </c>
      <c r="L112">
        <v>38</v>
      </c>
      <c r="M112">
        <v>1017.6</v>
      </c>
      <c r="N112">
        <v>1012.8</v>
      </c>
      <c r="O112">
        <v>1</v>
      </c>
      <c r="P112">
        <v>26.1</v>
      </c>
      <c r="Q112" t="s">
        <v>19</v>
      </c>
      <c r="S112">
        <v>27</v>
      </c>
      <c r="T112">
        <v>31.899843259803017</v>
      </c>
      <c r="U112">
        <v>5.65</v>
      </c>
      <c r="W112">
        <f t="shared" si="9"/>
        <v>15</v>
      </c>
      <c r="X112">
        <f t="shared" si="10"/>
        <v>32</v>
      </c>
      <c r="Y112">
        <f t="shared" si="11"/>
        <v>33.1</v>
      </c>
      <c r="Z112">
        <f t="shared" si="12"/>
        <v>38</v>
      </c>
      <c r="AA112">
        <f t="shared" si="13"/>
        <v>151</v>
      </c>
      <c r="AB112">
        <f t="shared" si="14"/>
        <v>94</v>
      </c>
      <c r="AC112" t="str">
        <f t="shared" si="15"/>
        <v>N</v>
      </c>
      <c r="AD112" t="str">
        <f t="shared" si="16"/>
        <v>E</v>
      </c>
      <c r="AE112">
        <f t="shared" si="17"/>
        <v>3</v>
      </c>
    </row>
    <row r="113" spans="1:31" x14ac:dyDescent="0.25">
      <c r="A113">
        <v>12</v>
      </c>
      <c r="B113">
        <v>28.9</v>
      </c>
      <c r="C113">
        <v>0</v>
      </c>
      <c r="D113">
        <v>7.2</v>
      </c>
      <c r="E113">
        <v>8.1999999999999993</v>
      </c>
      <c r="F113">
        <v>39</v>
      </c>
      <c r="G113" t="s">
        <v>27</v>
      </c>
      <c r="H113" t="s">
        <v>26</v>
      </c>
      <c r="I113">
        <v>2</v>
      </c>
      <c r="J113">
        <v>9</v>
      </c>
      <c r="K113">
        <v>78</v>
      </c>
      <c r="L113">
        <v>31</v>
      </c>
      <c r="M113">
        <v>1012.2</v>
      </c>
      <c r="N113">
        <v>1009.1</v>
      </c>
      <c r="O113">
        <v>2</v>
      </c>
      <c r="P113">
        <v>28.6</v>
      </c>
      <c r="Q113" t="s">
        <v>19</v>
      </c>
      <c r="S113">
        <v>29</v>
      </c>
      <c r="T113">
        <v>31.815090758946454</v>
      </c>
      <c r="U113">
        <v>5.64</v>
      </c>
      <c r="W113">
        <f t="shared" si="9"/>
        <v>9</v>
      </c>
      <c r="X113">
        <f t="shared" si="10"/>
        <v>30</v>
      </c>
      <c r="Y113">
        <f t="shared" si="11"/>
        <v>19.2</v>
      </c>
      <c r="Z113">
        <f t="shared" si="12"/>
        <v>31</v>
      </c>
      <c r="AA113">
        <f t="shared" si="13"/>
        <v>119</v>
      </c>
      <c r="AB113">
        <f t="shared" si="14"/>
        <v>120</v>
      </c>
      <c r="AC113" t="str">
        <f t="shared" si="15"/>
        <v>N</v>
      </c>
      <c r="AD113" t="str">
        <f t="shared" si="16"/>
        <v>W</v>
      </c>
      <c r="AE113">
        <f t="shared" si="17"/>
        <v>3</v>
      </c>
    </row>
    <row r="114" spans="1:31" x14ac:dyDescent="0.25">
      <c r="A114">
        <v>16.3</v>
      </c>
      <c r="B114">
        <v>24.8</v>
      </c>
      <c r="C114">
        <v>1.8</v>
      </c>
      <c r="D114">
        <v>7.8</v>
      </c>
      <c r="E114">
        <v>3.8</v>
      </c>
      <c r="F114">
        <v>50</v>
      </c>
      <c r="G114" t="s">
        <v>33</v>
      </c>
      <c r="H114" t="s">
        <v>24</v>
      </c>
      <c r="I114">
        <v>4</v>
      </c>
      <c r="J114">
        <v>7</v>
      </c>
      <c r="K114">
        <v>88</v>
      </c>
      <c r="L114">
        <v>56</v>
      </c>
      <c r="M114">
        <v>1011.8</v>
      </c>
      <c r="N114">
        <v>1008.4</v>
      </c>
      <c r="O114">
        <v>7</v>
      </c>
      <c r="P114">
        <v>24</v>
      </c>
      <c r="Q114" t="s">
        <v>20</v>
      </c>
      <c r="S114">
        <v>25</v>
      </c>
      <c r="T114">
        <v>31.808803812781139</v>
      </c>
      <c r="U114">
        <v>5.64</v>
      </c>
      <c r="W114">
        <f t="shared" si="9"/>
        <v>7</v>
      </c>
      <c r="X114">
        <f t="shared" si="10"/>
        <v>38.75</v>
      </c>
      <c r="Y114">
        <f t="shared" si="11"/>
        <v>14.8</v>
      </c>
      <c r="Z114">
        <f t="shared" si="12"/>
        <v>56</v>
      </c>
      <c r="AA114">
        <f t="shared" si="13"/>
        <v>41</v>
      </c>
      <c r="AB114">
        <f t="shared" si="14"/>
        <v>204</v>
      </c>
      <c r="AC114" t="str">
        <f t="shared" si="15"/>
        <v>Y</v>
      </c>
      <c r="AD114" t="str">
        <f t="shared" si="16"/>
        <v>N</v>
      </c>
      <c r="AE114">
        <f t="shared" si="17"/>
        <v>3</v>
      </c>
    </row>
    <row r="115" spans="1:31" x14ac:dyDescent="0.25">
      <c r="A115">
        <v>12.7</v>
      </c>
      <c r="B115">
        <v>28.6</v>
      </c>
      <c r="C115">
        <v>6.6</v>
      </c>
      <c r="D115">
        <v>3.2</v>
      </c>
      <c r="E115">
        <v>8.6</v>
      </c>
      <c r="F115">
        <v>50</v>
      </c>
      <c r="G115" t="s">
        <v>35</v>
      </c>
      <c r="H115" t="s">
        <v>23</v>
      </c>
      <c r="I115" t="s">
        <v>35</v>
      </c>
      <c r="J115">
        <v>28</v>
      </c>
      <c r="K115">
        <v>78</v>
      </c>
      <c r="L115">
        <v>42</v>
      </c>
      <c r="M115">
        <v>1008.3</v>
      </c>
      <c r="N115">
        <v>1002.3</v>
      </c>
      <c r="O115">
        <v>5</v>
      </c>
      <c r="P115">
        <v>27.4</v>
      </c>
      <c r="Q115" t="s">
        <v>20</v>
      </c>
      <c r="S115">
        <v>29</v>
      </c>
      <c r="T115">
        <v>31.753739937210547</v>
      </c>
      <c r="U115">
        <v>5.64</v>
      </c>
      <c r="W115">
        <f t="shared" si="9"/>
        <v>28</v>
      </c>
      <c r="X115">
        <f t="shared" si="10"/>
        <v>49.333333333333336</v>
      </c>
      <c r="Y115">
        <f t="shared" si="11"/>
        <v>36.6</v>
      </c>
      <c r="Z115">
        <f t="shared" si="12"/>
        <v>42</v>
      </c>
      <c r="AA115">
        <f t="shared" si="13"/>
        <v>41</v>
      </c>
      <c r="AB115">
        <f t="shared" si="14"/>
        <v>204</v>
      </c>
      <c r="AC115" t="str">
        <f t="shared" si="15"/>
        <v>Y</v>
      </c>
      <c r="AD115" t="str">
        <f t="shared" si="16"/>
        <v>W</v>
      </c>
      <c r="AE115">
        <f t="shared" si="17"/>
        <v>2</v>
      </c>
    </row>
    <row r="116" spans="1:31" x14ac:dyDescent="0.25">
      <c r="A116">
        <v>12.7</v>
      </c>
      <c r="B116">
        <v>25.1</v>
      </c>
      <c r="C116">
        <v>0</v>
      </c>
      <c r="D116">
        <v>7.8</v>
      </c>
      <c r="E116">
        <v>12.4</v>
      </c>
      <c r="F116">
        <v>46</v>
      </c>
      <c r="G116" t="s">
        <v>26</v>
      </c>
      <c r="H116" t="s">
        <v>26</v>
      </c>
      <c r="I116">
        <v>20</v>
      </c>
      <c r="J116">
        <v>26</v>
      </c>
      <c r="K116">
        <v>57</v>
      </c>
      <c r="L116">
        <v>32</v>
      </c>
      <c r="M116">
        <v>1007.4</v>
      </c>
      <c r="N116">
        <v>1005.4</v>
      </c>
      <c r="O116">
        <v>1</v>
      </c>
      <c r="P116">
        <v>24.5</v>
      </c>
      <c r="Q116" t="s">
        <v>19</v>
      </c>
      <c r="S116">
        <v>25</v>
      </c>
      <c r="T116">
        <v>31.739565214413382</v>
      </c>
      <c r="U116">
        <v>5.63</v>
      </c>
      <c r="W116">
        <f t="shared" si="9"/>
        <v>26</v>
      </c>
      <c r="X116">
        <f t="shared" si="10"/>
        <v>33.75</v>
      </c>
      <c r="Y116">
        <f t="shared" si="11"/>
        <v>58.4</v>
      </c>
      <c r="Z116">
        <f t="shared" si="12"/>
        <v>32</v>
      </c>
      <c r="AA116">
        <f t="shared" si="13"/>
        <v>61</v>
      </c>
      <c r="AB116">
        <f t="shared" si="14"/>
        <v>175</v>
      </c>
      <c r="AC116" t="str">
        <f t="shared" si="15"/>
        <v>N</v>
      </c>
      <c r="AD116" t="str">
        <f t="shared" si="16"/>
        <v>W</v>
      </c>
      <c r="AE116">
        <f t="shared" si="17"/>
        <v>3</v>
      </c>
    </row>
    <row r="117" spans="1:31" x14ac:dyDescent="0.25">
      <c r="A117">
        <v>12</v>
      </c>
      <c r="B117">
        <v>23.8</v>
      </c>
      <c r="C117">
        <v>0</v>
      </c>
      <c r="D117">
        <v>10.4</v>
      </c>
      <c r="E117">
        <v>12.4</v>
      </c>
      <c r="F117">
        <v>44</v>
      </c>
      <c r="G117" t="s">
        <v>17</v>
      </c>
      <c r="H117" t="s">
        <v>26</v>
      </c>
      <c r="I117">
        <v>15</v>
      </c>
      <c r="J117">
        <v>30</v>
      </c>
      <c r="K117">
        <v>54</v>
      </c>
      <c r="L117">
        <v>34</v>
      </c>
      <c r="M117">
        <v>1007.9</v>
      </c>
      <c r="N117">
        <v>1007.2</v>
      </c>
      <c r="O117">
        <v>0</v>
      </c>
      <c r="P117">
        <v>22.9</v>
      </c>
      <c r="Q117" t="s">
        <v>19</v>
      </c>
      <c r="S117">
        <v>24</v>
      </c>
      <c r="T117">
        <v>31.747440841743447</v>
      </c>
      <c r="U117">
        <v>5.63</v>
      </c>
      <c r="W117">
        <f t="shared" si="9"/>
        <v>30</v>
      </c>
      <c r="X117">
        <f t="shared" si="10"/>
        <v>33.25</v>
      </c>
      <c r="Y117">
        <f t="shared" si="11"/>
        <v>57.4</v>
      </c>
      <c r="Z117">
        <f t="shared" si="12"/>
        <v>34</v>
      </c>
      <c r="AA117">
        <f t="shared" si="13"/>
        <v>76</v>
      </c>
      <c r="AB117">
        <f t="shared" si="14"/>
        <v>165</v>
      </c>
      <c r="AC117" t="str">
        <f t="shared" si="15"/>
        <v>N</v>
      </c>
      <c r="AD117" t="str">
        <f t="shared" si="16"/>
        <v>W</v>
      </c>
      <c r="AE117">
        <f t="shared" si="17"/>
        <v>2</v>
      </c>
    </row>
    <row r="118" spans="1:31" x14ac:dyDescent="0.25">
      <c r="A118">
        <v>11.5</v>
      </c>
      <c r="B118">
        <v>25.9</v>
      </c>
      <c r="C118">
        <v>0</v>
      </c>
      <c r="D118">
        <v>5.2</v>
      </c>
      <c r="E118">
        <v>10.199999999999999</v>
      </c>
      <c r="F118">
        <v>44</v>
      </c>
      <c r="G118" t="s">
        <v>21</v>
      </c>
      <c r="H118" t="s">
        <v>31</v>
      </c>
      <c r="I118">
        <v>9</v>
      </c>
      <c r="J118">
        <v>7</v>
      </c>
      <c r="K118">
        <v>70</v>
      </c>
      <c r="L118">
        <v>35</v>
      </c>
      <c r="M118">
        <v>1016.4</v>
      </c>
      <c r="N118">
        <v>1014.3</v>
      </c>
      <c r="O118">
        <v>6</v>
      </c>
      <c r="P118">
        <v>24.3</v>
      </c>
      <c r="Q118" t="s">
        <v>19</v>
      </c>
      <c r="S118">
        <v>26</v>
      </c>
      <c r="T118">
        <v>31.881028841616764</v>
      </c>
      <c r="U118">
        <v>5.65</v>
      </c>
      <c r="W118">
        <f t="shared" si="9"/>
        <v>9</v>
      </c>
      <c r="X118">
        <f t="shared" si="10"/>
        <v>30.25</v>
      </c>
      <c r="Y118">
        <f t="shared" si="11"/>
        <v>26.2</v>
      </c>
      <c r="Z118">
        <f t="shared" si="12"/>
        <v>35</v>
      </c>
      <c r="AA118">
        <f t="shared" si="13"/>
        <v>76</v>
      </c>
      <c r="AB118">
        <f t="shared" si="14"/>
        <v>165</v>
      </c>
      <c r="AC118" t="str">
        <f t="shared" si="15"/>
        <v>N</v>
      </c>
      <c r="AD118" t="str">
        <f t="shared" si="16"/>
        <v>W</v>
      </c>
      <c r="AE118">
        <f t="shared" si="17"/>
        <v>3</v>
      </c>
    </row>
    <row r="119" spans="1:31" x14ac:dyDescent="0.25">
      <c r="A119">
        <v>13</v>
      </c>
      <c r="B119">
        <v>28.2</v>
      </c>
      <c r="C119">
        <v>0</v>
      </c>
      <c r="D119">
        <v>5</v>
      </c>
      <c r="E119">
        <v>11.6</v>
      </c>
      <c r="F119">
        <v>44</v>
      </c>
      <c r="G119" t="s">
        <v>31</v>
      </c>
      <c r="H119" t="s">
        <v>17</v>
      </c>
      <c r="I119">
        <v>4</v>
      </c>
      <c r="J119">
        <v>17</v>
      </c>
      <c r="K119">
        <v>74</v>
      </c>
      <c r="L119">
        <v>27</v>
      </c>
      <c r="M119">
        <v>1017.6</v>
      </c>
      <c r="N119">
        <v>1014.4</v>
      </c>
      <c r="O119">
        <v>3</v>
      </c>
      <c r="P119">
        <v>27</v>
      </c>
      <c r="Q119" t="s">
        <v>19</v>
      </c>
      <c r="S119">
        <v>28</v>
      </c>
      <c r="T119">
        <v>31.899843259803017</v>
      </c>
      <c r="U119">
        <v>5.65</v>
      </c>
      <c r="W119">
        <f t="shared" si="9"/>
        <v>17</v>
      </c>
      <c r="X119">
        <f t="shared" si="10"/>
        <v>30.5</v>
      </c>
      <c r="Y119">
        <f t="shared" si="11"/>
        <v>32.6</v>
      </c>
      <c r="Z119">
        <f t="shared" si="12"/>
        <v>27</v>
      </c>
      <c r="AA119">
        <f t="shared" si="13"/>
        <v>76</v>
      </c>
      <c r="AB119">
        <f t="shared" si="14"/>
        <v>165</v>
      </c>
      <c r="AC119" t="str">
        <f t="shared" si="15"/>
        <v>N</v>
      </c>
      <c r="AD119" t="str">
        <f t="shared" si="16"/>
        <v>W</v>
      </c>
      <c r="AE119">
        <f t="shared" si="17"/>
        <v>3</v>
      </c>
    </row>
    <row r="120" spans="1:31" x14ac:dyDescent="0.25">
      <c r="A120">
        <v>11.7</v>
      </c>
      <c r="B120">
        <v>27.6</v>
      </c>
      <c r="C120">
        <v>0</v>
      </c>
      <c r="D120">
        <v>7.8</v>
      </c>
      <c r="E120">
        <v>8.1</v>
      </c>
      <c r="F120">
        <v>48</v>
      </c>
      <c r="G120" t="s">
        <v>35</v>
      </c>
      <c r="H120" t="s">
        <v>23</v>
      </c>
      <c r="I120" t="s">
        <v>35</v>
      </c>
      <c r="J120">
        <v>30</v>
      </c>
      <c r="K120">
        <v>74</v>
      </c>
      <c r="L120">
        <v>25</v>
      </c>
      <c r="M120">
        <v>1013.6</v>
      </c>
      <c r="N120">
        <v>1009.1</v>
      </c>
      <c r="O120">
        <v>2</v>
      </c>
      <c r="P120">
        <v>26.8</v>
      </c>
      <c r="Q120" t="s">
        <v>19</v>
      </c>
      <c r="S120">
        <v>28</v>
      </c>
      <c r="T120">
        <v>31.837085293726247</v>
      </c>
      <c r="U120">
        <v>5.64</v>
      </c>
      <c r="W120">
        <f t="shared" si="9"/>
        <v>30</v>
      </c>
      <c r="X120">
        <f t="shared" si="10"/>
        <v>43</v>
      </c>
      <c r="Y120">
        <f t="shared" si="11"/>
        <v>38.1</v>
      </c>
      <c r="Z120">
        <f t="shared" si="12"/>
        <v>25</v>
      </c>
      <c r="AA120">
        <f t="shared" si="13"/>
        <v>48</v>
      </c>
      <c r="AB120">
        <f t="shared" si="14"/>
        <v>187</v>
      </c>
      <c r="AC120" t="str">
        <f t="shared" si="15"/>
        <v>N</v>
      </c>
      <c r="AD120" t="str">
        <f t="shared" si="16"/>
        <v>W</v>
      </c>
      <c r="AE120">
        <f t="shared" si="17"/>
        <v>2</v>
      </c>
    </row>
    <row r="121" spans="1:31" x14ac:dyDescent="0.25">
      <c r="A121">
        <v>14.8</v>
      </c>
      <c r="B121">
        <v>17.3</v>
      </c>
      <c r="C121">
        <v>0</v>
      </c>
      <c r="D121">
        <v>7.6</v>
      </c>
      <c r="E121">
        <v>0.8</v>
      </c>
      <c r="F121">
        <v>48</v>
      </c>
      <c r="G121" t="s">
        <v>30</v>
      </c>
      <c r="H121" t="s">
        <v>29</v>
      </c>
      <c r="I121">
        <v>13</v>
      </c>
      <c r="J121">
        <v>13</v>
      </c>
      <c r="K121">
        <v>74</v>
      </c>
      <c r="L121">
        <v>78</v>
      </c>
      <c r="M121">
        <v>1010</v>
      </c>
      <c r="N121">
        <v>1009.9</v>
      </c>
      <c r="O121">
        <v>7</v>
      </c>
      <c r="P121">
        <v>15.3</v>
      </c>
      <c r="Q121" t="s">
        <v>19</v>
      </c>
      <c r="S121">
        <v>17</v>
      </c>
      <c r="T121">
        <v>31.780497164141408</v>
      </c>
      <c r="U121">
        <v>5.64</v>
      </c>
      <c r="W121">
        <f t="shared" si="9"/>
        <v>13</v>
      </c>
      <c r="X121">
        <f t="shared" si="10"/>
        <v>44.5</v>
      </c>
      <c r="Y121">
        <f t="shared" si="11"/>
        <v>26.8</v>
      </c>
      <c r="Z121">
        <f t="shared" si="12"/>
        <v>74</v>
      </c>
      <c r="AA121">
        <f t="shared" si="13"/>
        <v>48</v>
      </c>
      <c r="AB121">
        <f t="shared" si="14"/>
        <v>187</v>
      </c>
      <c r="AC121" t="str">
        <f t="shared" si="15"/>
        <v>N</v>
      </c>
      <c r="AD121" t="str">
        <f t="shared" si="16"/>
        <v>E</v>
      </c>
      <c r="AE121">
        <f t="shared" si="17"/>
        <v>1</v>
      </c>
    </row>
    <row r="122" spans="1:31" x14ac:dyDescent="0.25">
      <c r="A122">
        <v>7.7</v>
      </c>
      <c r="B122">
        <v>18.399999999999999</v>
      </c>
      <c r="C122">
        <v>10.4</v>
      </c>
      <c r="D122">
        <v>5.2</v>
      </c>
      <c r="E122">
        <v>12</v>
      </c>
      <c r="F122">
        <v>48</v>
      </c>
      <c r="G122" t="s">
        <v>30</v>
      </c>
      <c r="H122" t="s">
        <v>30</v>
      </c>
      <c r="I122">
        <v>24</v>
      </c>
      <c r="J122">
        <v>17</v>
      </c>
      <c r="K122">
        <v>58</v>
      </c>
      <c r="L122">
        <v>34</v>
      </c>
      <c r="M122">
        <v>1015.5</v>
      </c>
      <c r="N122">
        <v>1014.5</v>
      </c>
      <c r="O122">
        <v>5</v>
      </c>
      <c r="P122">
        <v>16.8</v>
      </c>
      <c r="Q122" t="s">
        <v>20</v>
      </c>
      <c r="S122">
        <v>18</v>
      </c>
      <c r="T122">
        <v>31.866910738256383</v>
      </c>
      <c r="U122">
        <v>5.65</v>
      </c>
      <c r="W122">
        <f t="shared" si="9"/>
        <v>24</v>
      </c>
      <c r="X122">
        <f t="shared" si="10"/>
        <v>33.25</v>
      </c>
      <c r="Y122">
        <f t="shared" si="11"/>
        <v>53</v>
      </c>
      <c r="Z122">
        <f t="shared" si="12"/>
        <v>34</v>
      </c>
      <c r="AA122">
        <f t="shared" si="13"/>
        <v>48</v>
      </c>
      <c r="AB122">
        <f t="shared" si="14"/>
        <v>187</v>
      </c>
      <c r="AC122" t="str">
        <f t="shared" si="15"/>
        <v>Y</v>
      </c>
      <c r="AD122" t="str">
        <f t="shared" si="16"/>
        <v>S</v>
      </c>
      <c r="AE122">
        <f t="shared" si="17"/>
        <v>1</v>
      </c>
    </row>
    <row r="123" spans="1:31" x14ac:dyDescent="0.25">
      <c r="A123">
        <v>4.4000000000000004</v>
      </c>
      <c r="B123">
        <v>21.8</v>
      </c>
      <c r="C123">
        <v>0</v>
      </c>
      <c r="D123">
        <v>6.2</v>
      </c>
      <c r="E123">
        <v>12.1</v>
      </c>
      <c r="F123">
        <v>35</v>
      </c>
      <c r="G123" t="s">
        <v>27</v>
      </c>
      <c r="H123" t="s">
        <v>27</v>
      </c>
      <c r="I123">
        <v>15</v>
      </c>
      <c r="J123">
        <v>15</v>
      </c>
      <c r="K123">
        <v>60</v>
      </c>
      <c r="L123">
        <v>31</v>
      </c>
      <c r="M123">
        <v>1020.8</v>
      </c>
      <c r="N123">
        <v>1019.3</v>
      </c>
      <c r="O123">
        <v>1</v>
      </c>
      <c r="P123">
        <v>20</v>
      </c>
      <c r="Q123" t="s">
        <v>19</v>
      </c>
      <c r="S123">
        <v>22</v>
      </c>
      <c r="T123">
        <v>31.949960876345372</v>
      </c>
      <c r="U123">
        <v>5.65</v>
      </c>
      <c r="W123">
        <f t="shared" si="9"/>
        <v>15</v>
      </c>
      <c r="X123">
        <f t="shared" si="10"/>
        <v>30.25</v>
      </c>
      <c r="Y123">
        <f t="shared" si="11"/>
        <v>42.1</v>
      </c>
      <c r="Z123">
        <f t="shared" si="12"/>
        <v>31</v>
      </c>
      <c r="AA123">
        <f t="shared" si="13"/>
        <v>125</v>
      </c>
      <c r="AB123">
        <f t="shared" si="14"/>
        <v>104</v>
      </c>
      <c r="AC123" t="str">
        <f t="shared" si="15"/>
        <v>N</v>
      </c>
      <c r="AD123" t="str">
        <f t="shared" si="16"/>
        <v>E</v>
      </c>
      <c r="AE123">
        <f t="shared" si="17"/>
        <v>3</v>
      </c>
    </row>
    <row r="124" spans="1:31" x14ac:dyDescent="0.25">
      <c r="A124">
        <v>7.4</v>
      </c>
      <c r="B124">
        <v>24.4</v>
      </c>
      <c r="C124">
        <v>0</v>
      </c>
      <c r="D124">
        <v>6.2</v>
      </c>
      <c r="E124">
        <v>11.6</v>
      </c>
      <c r="F124">
        <v>35</v>
      </c>
      <c r="G124" t="s">
        <v>28</v>
      </c>
      <c r="H124" t="s">
        <v>26</v>
      </c>
      <c r="I124">
        <v>7</v>
      </c>
      <c r="J124">
        <v>11</v>
      </c>
      <c r="K124">
        <v>65</v>
      </c>
      <c r="L124">
        <v>37</v>
      </c>
      <c r="M124">
        <v>1026.3</v>
      </c>
      <c r="N124">
        <v>1023.2</v>
      </c>
      <c r="O124">
        <v>0</v>
      </c>
      <c r="P124">
        <v>22.1</v>
      </c>
      <c r="Q124" t="s">
        <v>19</v>
      </c>
      <c r="S124">
        <v>24</v>
      </c>
      <c r="T124">
        <v>32.035917342882506</v>
      </c>
      <c r="U124">
        <v>5.66</v>
      </c>
      <c r="W124">
        <f t="shared" si="9"/>
        <v>11</v>
      </c>
      <c r="X124">
        <f t="shared" si="10"/>
        <v>30</v>
      </c>
      <c r="Y124">
        <f t="shared" si="11"/>
        <v>29.6</v>
      </c>
      <c r="Z124">
        <f t="shared" si="12"/>
        <v>37</v>
      </c>
      <c r="AA124">
        <f t="shared" si="13"/>
        <v>125</v>
      </c>
      <c r="AB124">
        <f t="shared" si="14"/>
        <v>104</v>
      </c>
      <c r="AC124" t="str">
        <f t="shared" si="15"/>
        <v>N</v>
      </c>
      <c r="AD124" t="str">
        <f t="shared" si="16"/>
        <v>W</v>
      </c>
      <c r="AE124">
        <f t="shared" si="17"/>
        <v>3</v>
      </c>
    </row>
    <row r="125" spans="1:31" x14ac:dyDescent="0.25">
      <c r="A125">
        <v>8.3000000000000007</v>
      </c>
      <c r="B125">
        <v>27.3</v>
      </c>
      <c r="C125">
        <v>0</v>
      </c>
      <c r="D125">
        <v>5.6</v>
      </c>
      <c r="E125">
        <v>10.1</v>
      </c>
      <c r="F125">
        <v>35</v>
      </c>
      <c r="G125" t="s">
        <v>28</v>
      </c>
      <c r="H125" t="s">
        <v>26</v>
      </c>
      <c r="I125">
        <v>6</v>
      </c>
      <c r="J125">
        <v>9</v>
      </c>
      <c r="K125">
        <v>78</v>
      </c>
      <c r="L125">
        <v>28</v>
      </c>
      <c r="M125">
        <v>1025.4000000000001</v>
      </c>
      <c r="N125">
        <v>1020.4</v>
      </c>
      <c r="O125">
        <v>1</v>
      </c>
      <c r="P125">
        <v>25.5</v>
      </c>
      <c r="Q125" t="s">
        <v>19</v>
      </c>
      <c r="S125">
        <v>27</v>
      </c>
      <c r="T125">
        <v>32.021867528300099</v>
      </c>
      <c r="U125">
        <v>5.66</v>
      </c>
      <c r="W125">
        <f t="shared" si="9"/>
        <v>9</v>
      </c>
      <c r="X125">
        <f t="shared" si="10"/>
        <v>30.25</v>
      </c>
      <c r="Y125">
        <f t="shared" si="11"/>
        <v>25.1</v>
      </c>
      <c r="Z125">
        <f t="shared" si="12"/>
        <v>28</v>
      </c>
      <c r="AA125">
        <f t="shared" si="13"/>
        <v>125</v>
      </c>
      <c r="AB125">
        <f t="shared" si="14"/>
        <v>104</v>
      </c>
      <c r="AC125" t="str">
        <f t="shared" si="15"/>
        <v>N</v>
      </c>
      <c r="AD125" t="str">
        <f t="shared" si="16"/>
        <v>W</v>
      </c>
      <c r="AE125">
        <f t="shared" si="17"/>
        <v>3</v>
      </c>
    </row>
    <row r="126" spans="1:31" x14ac:dyDescent="0.25">
      <c r="A126">
        <v>10.1</v>
      </c>
      <c r="B126">
        <v>28.2</v>
      </c>
      <c r="C126">
        <v>0</v>
      </c>
      <c r="D126">
        <v>6</v>
      </c>
      <c r="E126">
        <v>7.3</v>
      </c>
      <c r="F126">
        <v>39</v>
      </c>
      <c r="G126" t="s">
        <v>27</v>
      </c>
      <c r="H126" t="s">
        <v>26</v>
      </c>
      <c r="I126">
        <v>6</v>
      </c>
      <c r="J126">
        <v>7</v>
      </c>
      <c r="K126">
        <v>72</v>
      </c>
      <c r="L126">
        <v>28</v>
      </c>
      <c r="M126">
        <v>1021.1</v>
      </c>
      <c r="N126">
        <v>1018.2</v>
      </c>
      <c r="O126">
        <v>1</v>
      </c>
      <c r="P126">
        <v>27</v>
      </c>
      <c r="Q126" t="s">
        <v>19</v>
      </c>
      <c r="S126">
        <v>28</v>
      </c>
      <c r="T126">
        <v>31.954655372887377</v>
      </c>
      <c r="U126">
        <v>5.65</v>
      </c>
      <c r="W126">
        <f t="shared" si="9"/>
        <v>7</v>
      </c>
      <c r="X126">
        <f t="shared" si="10"/>
        <v>28.25</v>
      </c>
      <c r="Y126">
        <f t="shared" si="11"/>
        <v>20.3</v>
      </c>
      <c r="Z126">
        <f t="shared" si="12"/>
        <v>28</v>
      </c>
      <c r="AA126">
        <f t="shared" si="13"/>
        <v>110</v>
      </c>
      <c r="AB126">
        <f t="shared" si="14"/>
        <v>117</v>
      </c>
      <c r="AC126" t="str">
        <f t="shared" si="15"/>
        <v>N</v>
      </c>
      <c r="AD126" t="str">
        <f t="shared" si="16"/>
        <v>W</v>
      </c>
      <c r="AE126">
        <f t="shared" si="17"/>
        <v>3</v>
      </c>
    </row>
    <row r="127" spans="1:31" x14ac:dyDescent="0.25">
      <c r="A127">
        <v>12</v>
      </c>
      <c r="B127">
        <v>27.6</v>
      </c>
      <c r="C127">
        <v>0</v>
      </c>
      <c r="D127">
        <v>6</v>
      </c>
      <c r="E127">
        <v>11</v>
      </c>
      <c r="F127">
        <v>46</v>
      </c>
      <c r="G127" t="s">
        <v>27</v>
      </c>
      <c r="H127" t="s">
        <v>31</v>
      </c>
      <c r="I127">
        <v>7</v>
      </c>
      <c r="J127">
        <v>6</v>
      </c>
      <c r="K127">
        <v>69</v>
      </c>
      <c r="L127">
        <v>35</v>
      </c>
      <c r="M127">
        <v>1025.5</v>
      </c>
      <c r="N127">
        <v>1022.2</v>
      </c>
      <c r="O127">
        <v>1</v>
      </c>
      <c r="P127">
        <v>26.2</v>
      </c>
      <c r="Q127" t="s">
        <v>19</v>
      </c>
      <c r="S127">
        <v>28</v>
      </c>
      <c r="T127">
        <v>32.023428923211831</v>
      </c>
      <c r="U127">
        <v>5.66</v>
      </c>
      <c r="W127">
        <f t="shared" si="9"/>
        <v>7</v>
      </c>
      <c r="X127">
        <f t="shared" si="10"/>
        <v>29.25</v>
      </c>
      <c r="Y127">
        <f t="shared" si="11"/>
        <v>24</v>
      </c>
      <c r="Z127">
        <f t="shared" si="12"/>
        <v>35</v>
      </c>
      <c r="AA127">
        <f t="shared" si="13"/>
        <v>58</v>
      </c>
      <c r="AB127">
        <f t="shared" si="14"/>
        <v>168</v>
      </c>
      <c r="AC127" t="str">
        <f t="shared" si="15"/>
        <v>N</v>
      </c>
      <c r="AD127" t="str">
        <f t="shared" si="16"/>
        <v>W</v>
      </c>
      <c r="AE127">
        <f t="shared" si="17"/>
        <v>3</v>
      </c>
    </row>
    <row r="128" spans="1:31" x14ac:dyDescent="0.25">
      <c r="A128">
        <v>12.9</v>
      </c>
      <c r="B128">
        <v>31.8</v>
      </c>
      <c r="C128">
        <v>0</v>
      </c>
      <c r="D128">
        <v>6</v>
      </c>
      <c r="E128">
        <v>11.3</v>
      </c>
      <c r="F128">
        <v>41</v>
      </c>
      <c r="G128" t="s">
        <v>33</v>
      </c>
      <c r="H128" t="s">
        <v>25</v>
      </c>
      <c r="I128">
        <v>6</v>
      </c>
      <c r="J128">
        <v>9</v>
      </c>
      <c r="K128">
        <v>76</v>
      </c>
      <c r="L128">
        <v>24</v>
      </c>
      <c r="M128">
        <v>1023.9</v>
      </c>
      <c r="N128">
        <v>1019.3</v>
      </c>
      <c r="O128">
        <v>2</v>
      </c>
      <c r="P128">
        <v>30</v>
      </c>
      <c r="Q128" t="s">
        <v>19</v>
      </c>
      <c r="S128">
        <v>32</v>
      </c>
      <c r="T128">
        <v>31.998437461851164</v>
      </c>
      <c r="U128">
        <v>5.66</v>
      </c>
      <c r="W128">
        <f t="shared" si="9"/>
        <v>9</v>
      </c>
      <c r="X128">
        <f t="shared" si="10"/>
        <v>28.75</v>
      </c>
      <c r="Y128">
        <f t="shared" si="11"/>
        <v>26.3</v>
      </c>
      <c r="Z128">
        <f t="shared" si="12"/>
        <v>24</v>
      </c>
      <c r="AA128">
        <f t="shared" si="13"/>
        <v>93</v>
      </c>
      <c r="AB128">
        <f t="shared" si="14"/>
        <v>131</v>
      </c>
      <c r="AC128" t="str">
        <f t="shared" si="15"/>
        <v>N</v>
      </c>
      <c r="AD128" t="str">
        <f t="shared" si="16"/>
        <v>E</v>
      </c>
      <c r="AE128">
        <f t="shared" si="17"/>
        <v>3</v>
      </c>
    </row>
    <row r="129" spans="1:31" x14ac:dyDescent="0.25">
      <c r="A129">
        <v>10.8</v>
      </c>
      <c r="B129">
        <v>29.2</v>
      </c>
      <c r="C129">
        <v>0</v>
      </c>
      <c r="D129">
        <v>8.4</v>
      </c>
      <c r="E129">
        <v>7.5</v>
      </c>
      <c r="F129">
        <v>50</v>
      </c>
      <c r="G129" t="s">
        <v>35</v>
      </c>
      <c r="H129" t="s">
        <v>21</v>
      </c>
      <c r="I129" t="s">
        <v>35</v>
      </c>
      <c r="J129">
        <v>9</v>
      </c>
      <c r="K129">
        <v>56</v>
      </c>
      <c r="L129">
        <v>34</v>
      </c>
      <c r="M129">
        <v>1021.6</v>
      </c>
      <c r="N129">
        <v>1017.7</v>
      </c>
      <c r="O129">
        <v>0</v>
      </c>
      <c r="P129">
        <v>27.7</v>
      </c>
      <c r="Q129" t="s">
        <v>19</v>
      </c>
      <c r="S129">
        <v>29</v>
      </c>
      <c r="T129">
        <v>31.962478001556764</v>
      </c>
      <c r="U129">
        <v>5.65</v>
      </c>
      <c r="W129">
        <f t="shared" si="9"/>
        <v>9</v>
      </c>
      <c r="X129">
        <f t="shared" si="10"/>
        <v>33</v>
      </c>
      <c r="Y129">
        <f t="shared" si="11"/>
        <v>16.5</v>
      </c>
      <c r="Z129">
        <f t="shared" si="12"/>
        <v>34</v>
      </c>
      <c r="AA129">
        <f t="shared" si="13"/>
        <v>41</v>
      </c>
      <c r="AB129">
        <f t="shared" si="14"/>
        <v>191</v>
      </c>
      <c r="AC129" t="str">
        <f t="shared" si="15"/>
        <v>N</v>
      </c>
      <c r="AD129" t="str">
        <f t="shared" si="16"/>
        <v>E</v>
      </c>
      <c r="AE129">
        <f t="shared" si="17"/>
        <v>2</v>
      </c>
    </row>
    <row r="130" spans="1:31" x14ac:dyDescent="0.25">
      <c r="A130">
        <v>9.5</v>
      </c>
      <c r="B130">
        <v>27.4</v>
      </c>
      <c r="C130">
        <v>3</v>
      </c>
      <c r="D130">
        <v>4.8</v>
      </c>
      <c r="E130">
        <v>11.5</v>
      </c>
      <c r="F130">
        <v>24</v>
      </c>
      <c r="G130" t="s">
        <v>27</v>
      </c>
      <c r="H130" t="s">
        <v>33</v>
      </c>
      <c r="I130">
        <v>6</v>
      </c>
      <c r="J130">
        <v>9</v>
      </c>
      <c r="K130">
        <v>79</v>
      </c>
      <c r="L130">
        <v>39</v>
      </c>
      <c r="M130">
        <v>1024.7</v>
      </c>
      <c r="N130">
        <v>1020.7</v>
      </c>
      <c r="O130">
        <v>1</v>
      </c>
      <c r="P130">
        <v>24.9</v>
      </c>
      <c r="Q130" t="s">
        <v>20</v>
      </c>
      <c r="S130">
        <v>27</v>
      </c>
      <c r="T130">
        <v>32.010935631436958</v>
      </c>
      <c r="U130">
        <v>5.66</v>
      </c>
      <c r="W130">
        <f t="shared" ref="W130:W193" si="24">MAX(I130:J130)</f>
        <v>9</v>
      </c>
      <c r="X130">
        <f t="shared" ref="X130:X193" si="25">AVERAGE(I130:J130,K130:L130)</f>
        <v>33.25</v>
      </c>
      <c r="Y130">
        <f t="shared" ref="Y130:Y193" si="26">SUM(I130,E130,J130)</f>
        <v>26.5</v>
      </c>
      <c r="Z130">
        <f t="shared" ref="Z130:Z193" si="27">MEDIAN(D130,L130,K130)</f>
        <v>39</v>
      </c>
      <c r="AA130">
        <f t="shared" ref="AA130:AA193" si="28">RANK(F130,F130:F495,0)</f>
        <v>201</v>
      </c>
      <c r="AB130">
        <f t="shared" ref="AB130:AB193" si="29">RANK(F130,F130:F495,1)</f>
        <v>31</v>
      </c>
      <c r="AC130" t="str">
        <f t="shared" ref="AC130:AC193" si="30">LEFT(Q130,1)</f>
        <v>Y</v>
      </c>
      <c r="AD130" t="str">
        <f t="shared" ref="AD130:AD193" si="31">RIGHT(H130,1)</f>
        <v>W</v>
      </c>
      <c r="AE130">
        <f t="shared" ref="AE130:AE193" si="32">LEN(G130)</f>
        <v>3</v>
      </c>
    </row>
    <row r="131" spans="1:31" x14ac:dyDescent="0.25">
      <c r="A131">
        <v>12.1</v>
      </c>
      <c r="B131">
        <v>27.8</v>
      </c>
      <c r="C131">
        <v>0</v>
      </c>
      <c r="D131">
        <v>5</v>
      </c>
      <c r="E131">
        <v>11.5</v>
      </c>
      <c r="F131">
        <v>41</v>
      </c>
      <c r="G131" t="s">
        <v>29</v>
      </c>
      <c r="H131" t="s">
        <v>25</v>
      </c>
      <c r="I131">
        <v>7</v>
      </c>
      <c r="J131">
        <v>11</v>
      </c>
      <c r="K131">
        <v>66</v>
      </c>
      <c r="L131">
        <v>33</v>
      </c>
      <c r="M131">
        <v>1024.8</v>
      </c>
      <c r="N131">
        <v>1023.1</v>
      </c>
      <c r="O131">
        <v>0</v>
      </c>
      <c r="P131">
        <v>27</v>
      </c>
      <c r="Q131" t="s">
        <v>19</v>
      </c>
      <c r="S131">
        <v>28</v>
      </c>
      <c r="T131">
        <v>32.012497559546958</v>
      </c>
      <c r="U131">
        <v>5.66</v>
      </c>
      <c r="W131">
        <f t="shared" si="24"/>
        <v>11</v>
      </c>
      <c r="X131">
        <f t="shared" si="25"/>
        <v>29.25</v>
      </c>
      <c r="Y131">
        <f t="shared" si="26"/>
        <v>29.5</v>
      </c>
      <c r="Z131">
        <f t="shared" si="27"/>
        <v>33</v>
      </c>
      <c r="AA131">
        <f t="shared" si="28"/>
        <v>92</v>
      </c>
      <c r="AB131">
        <f t="shared" si="29"/>
        <v>130</v>
      </c>
      <c r="AC131" t="str">
        <f t="shared" si="30"/>
        <v>N</v>
      </c>
      <c r="AD131" t="str">
        <f t="shared" si="31"/>
        <v>E</v>
      </c>
      <c r="AE131">
        <f t="shared" si="32"/>
        <v>2</v>
      </c>
    </row>
    <row r="132" spans="1:31" x14ac:dyDescent="0.25">
      <c r="A132">
        <v>12.5</v>
      </c>
      <c r="B132">
        <v>31.7</v>
      </c>
      <c r="C132">
        <v>0</v>
      </c>
      <c r="D132">
        <v>6.6</v>
      </c>
      <c r="E132">
        <v>11.2</v>
      </c>
      <c r="F132">
        <v>24</v>
      </c>
      <c r="G132" t="s">
        <v>21</v>
      </c>
      <c r="H132" t="s">
        <v>23</v>
      </c>
      <c r="I132">
        <v>6</v>
      </c>
      <c r="J132">
        <v>9</v>
      </c>
      <c r="K132">
        <v>74</v>
      </c>
      <c r="L132">
        <v>28</v>
      </c>
      <c r="M132">
        <v>1024.9000000000001</v>
      </c>
      <c r="N132">
        <v>1020.4</v>
      </c>
      <c r="O132">
        <v>1</v>
      </c>
      <c r="P132">
        <v>30.1</v>
      </c>
      <c r="Q132" t="s">
        <v>19</v>
      </c>
      <c r="S132">
        <v>32</v>
      </c>
      <c r="T132">
        <v>32.014059411452337</v>
      </c>
      <c r="U132">
        <v>5.66</v>
      </c>
      <c r="W132">
        <f t="shared" si="24"/>
        <v>9</v>
      </c>
      <c r="X132">
        <f t="shared" si="25"/>
        <v>29.25</v>
      </c>
      <c r="Y132">
        <f t="shared" si="26"/>
        <v>26.2</v>
      </c>
      <c r="Z132">
        <f t="shared" si="27"/>
        <v>28</v>
      </c>
      <c r="AA132">
        <f t="shared" si="28"/>
        <v>200</v>
      </c>
      <c r="AB132">
        <f t="shared" si="29"/>
        <v>31</v>
      </c>
      <c r="AC132" t="str">
        <f t="shared" si="30"/>
        <v>N</v>
      </c>
      <c r="AD132" t="str">
        <f t="shared" si="31"/>
        <v>W</v>
      </c>
      <c r="AE132">
        <f t="shared" si="32"/>
        <v>3</v>
      </c>
    </row>
    <row r="133" spans="1:31" x14ac:dyDescent="0.25">
      <c r="A133">
        <v>13.9</v>
      </c>
      <c r="B133">
        <v>34.700000000000003</v>
      </c>
      <c r="C133">
        <v>0</v>
      </c>
      <c r="D133">
        <v>6.4</v>
      </c>
      <c r="E133">
        <v>8.5</v>
      </c>
      <c r="F133">
        <v>46</v>
      </c>
      <c r="G133" t="s">
        <v>29</v>
      </c>
      <c r="H133" t="s">
        <v>21</v>
      </c>
      <c r="I133">
        <v>11</v>
      </c>
      <c r="J133">
        <v>7</v>
      </c>
      <c r="K133">
        <v>50</v>
      </c>
      <c r="L133">
        <v>18</v>
      </c>
      <c r="M133">
        <v>1022.8</v>
      </c>
      <c r="N133">
        <v>1019.3</v>
      </c>
      <c r="O133">
        <v>0</v>
      </c>
      <c r="P133">
        <v>32.700000000000003</v>
      </c>
      <c r="Q133" t="s">
        <v>19</v>
      </c>
      <c r="S133">
        <v>35</v>
      </c>
      <c r="T133">
        <v>31.981244503614928</v>
      </c>
      <c r="U133">
        <v>5.66</v>
      </c>
      <c r="W133">
        <f t="shared" si="24"/>
        <v>11</v>
      </c>
      <c r="X133">
        <f t="shared" si="25"/>
        <v>21.5</v>
      </c>
      <c r="Y133">
        <f t="shared" si="26"/>
        <v>26.5</v>
      </c>
      <c r="Z133">
        <f t="shared" si="27"/>
        <v>18</v>
      </c>
      <c r="AA133">
        <f t="shared" si="28"/>
        <v>57</v>
      </c>
      <c r="AB133">
        <f t="shared" si="29"/>
        <v>164</v>
      </c>
      <c r="AC133" t="str">
        <f t="shared" si="30"/>
        <v>N</v>
      </c>
      <c r="AD133" t="str">
        <f t="shared" si="31"/>
        <v>E</v>
      </c>
      <c r="AE133">
        <f t="shared" si="32"/>
        <v>2</v>
      </c>
    </row>
    <row r="134" spans="1:31" x14ac:dyDescent="0.25">
      <c r="A134">
        <v>13.3</v>
      </c>
      <c r="B134">
        <v>31.7</v>
      </c>
      <c r="C134">
        <v>0.2</v>
      </c>
      <c r="D134">
        <v>7.8</v>
      </c>
      <c r="E134">
        <v>11</v>
      </c>
      <c r="F134">
        <v>44</v>
      </c>
      <c r="G134" t="s">
        <v>28</v>
      </c>
      <c r="H134" t="s">
        <v>31</v>
      </c>
      <c r="I134">
        <v>6</v>
      </c>
      <c r="J134">
        <v>28</v>
      </c>
      <c r="K134">
        <v>80</v>
      </c>
      <c r="L134">
        <v>23</v>
      </c>
      <c r="M134">
        <v>1021.6</v>
      </c>
      <c r="N134">
        <v>1017.6</v>
      </c>
      <c r="O134">
        <v>2</v>
      </c>
      <c r="P134">
        <v>30.7</v>
      </c>
      <c r="Q134" t="s">
        <v>19</v>
      </c>
      <c r="S134">
        <v>32</v>
      </c>
      <c r="T134">
        <v>31.962478001556764</v>
      </c>
      <c r="U134">
        <v>5.65</v>
      </c>
      <c r="W134">
        <f t="shared" si="24"/>
        <v>28</v>
      </c>
      <c r="X134">
        <f t="shared" si="25"/>
        <v>34.25</v>
      </c>
      <c r="Y134">
        <f t="shared" si="26"/>
        <v>45</v>
      </c>
      <c r="Z134">
        <f t="shared" si="27"/>
        <v>23</v>
      </c>
      <c r="AA134">
        <f t="shared" si="28"/>
        <v>70</v>
      </c>
      <c r="AB134">
        <f t="shared" si="29"/>
        <v>157</v>
      </c>
      <c r="AC134" t="str">
        <f t="shared" si="30"/>
        <v>N</v>
      </c>
      <c r="AD134" t="str">
        <f t="shared" si="31"/>
        <v>W</v>
      </c>
      <c r="AE134">
        <f t="shared" si="32"/>
        <v>3</v>
      </c>
    </row>
    <row r="135" spans="1:31" x14ac:dyDescent="0.25">
      <c r="A135">
        <v>13.2</v>
      </c>
      <c r="B135">
        <v>33.1</v>
      </c>
      <c r="C135">
        <v>0</v>
      </c>
      <c r="D135">
        <v>8.6</v>
      </c>
      <c r="E135">
        <v>9.6999999999999993</v>
      </c>
      <c r="F135">
        <v>39</v>
      </c>
      <c r="G135" t="s">
        <v>29</v>
      </c>
      <c r="H135" t="s">
        <v>33</v>
      </c>
      <c r="I135">
        <v>7</v>
      </c>
      <c r="J135">
        <v>7</v>
      </c>
      <c r="K135">
        <v>91</v>
      </c>
      <c r="L135">
        <v>18</v>
      </c>
      <c r="M135">
        <v>1020.9</v>
      </c>
      <c r="N135">
        <v>1017.7</v>
      </c>
      <c r="O135">
        <v>7</v>
      </c>
      <c r="P135">
        <v>31.7</v>
      </c>
      <c r="Q135" t="s">
        <v>19</v>
      </c>
      <c r="S135">
        <v>33</v>
      </c>
      <c r="T135">
        <v>31.951525785164002</v>
      </c>
      <c r="U135">
        <v>5.65</v>
      </c>
      <c r="W135">
        <f t="shared" si="24"/>
        <v>7</v>
      </c>
      <c r="X135">
        <f t="shared" si="25"/>
        <v>30.75</v>
      </c>
      <c r="Y135">
        <f t="shared" si="26"/>
        <v>23.7</v>
      </c>
      <c r="Z135">
        <f t="shared" si="27"/>
        <v>18</v>
      </c>
      <c r="AA135">
        <f t="shared" si="28"/>
        <v>104</v>
      </c>
      <c r="AB135">
        <f t="shared" si="29"/>
        <v>115</v>
      </c>
      <c r="AC135" t="str">
        <f t="shared" si="30"/>
        <v>N</v>
      </c>
      <c r="AD135" t="str">
        <f t="shared" si="31"/>
        <v>W</v>
      </c>
      <c r="AE135">
        <f t="shared" si="32"/>
        <v>2</v>
      </c>
    </row>
    <row r="136" spans="1:31" x14ac:dyDescent="0.25">
      <c r="A136">
        <v>12.3</v>
      </c>
      <c r="B136">
        <v>33.799999999999997</v>
      </c>
      <c r="C136">
        <v>0</v>
      </c>
      <c r="D136">
        <v>7.2</v>
      </c>
      <c r="E136">
        <v>11.3</v>
      </c>
      <c r="F136">
        <v>22</v>
      </c>
      <c r="G136" t="s">
        <v>29</v>
      </c>
      <c r="H136" t="s">
        <v>23</v>
      </c>
      <c r="I136">
        <v>9</v>
      </c>
      <c r="J136">
        <v>13</v>
      </c>
      <c r="K136">
        <v>57</v>
      </c>
      <c r="L136">
        <v>15</v>
      </c>
      <c r="M136">
        <v>1022.6</v>
      </c>
      <c r="N136">
        <v>1019.1</v>
      </c>
      <c r="O136">
        <v>0</v>
      </c>
      <c r="P136">
        <v>32.700000000000003</v>
      </c>
      <c r="Q136" t="s">
        <v>19</v>
      </c>
      <c r="S136">
        <v>34</v>
      </c>
      <c r="T136">
        <v>31.978117518077891</v>
      </c>
      <c r="U136">
        <v>5.65</v>
      </c>
      <c r="W136">
        <f t="shared" si="24"/>
        <v>13</v>
      </c>
      <c r="X136">
        <f t="shared" si="25"/>
        <v>23.5</v>
      </c>
      <c r="Y136">
        <f t="shared" si="26"/>
        <v>33.299999999999997</v>
      </c>
      <c r="Z136">
        <f t="shared" si="27"/>
        <v>15</v>
      </c>
      <c r="AA136">
        <f t="shared" si="28"/>
        <v>201</v>
      </c>
      <c r="AB136">
        <f t="shared" si="29"/>
        <v>21</v>
      </c>
      <c r="AC136" t="str">
        <f t="shared" si="30"/>
        <v>N</v>
      </c>
      <c r="AD136" t="str">
        <f t="shared" si="31"/>
        <v>W</v>
      </c>
      <c r="AE136">
        <f t="shared" si="32"/>
        <v>2</v>
      </c>
    </row>
    <row r="137" spans="1:31" x14ac:dyDescent="0.25">
      <c r="A137">
        <v>13.8</v>
      </c>
      <c r="B137">
        <v>35.200000000000003</v>
      </c>
      <c r="C137">
        <v>0</v>
      </c>
      <c r="D137">
        <v>6.4</v>
      </c>
      <c r="E137">
        <v>11.2</v>
      </c>
      <c r="F137">
        <v>48</v>
      </c>
      <c r="G137" t="s">
        <v>29</v>
      </c>
      <c r="H137" t="s">
        <v>28</v>
      </c>
      <c r="I137">
        <v>7</v>
      </c>
      <c r="J137">
        <v>4</v>
      </c>
      <c r="K137">
        <v>47</v>
      </c>
      <c r="L137">
        <v>15</v>
      </c>
      <c r="M137">
        <v>1022.5</v>
      </c>
      <c r="N137">
        <v>1019.3</v>
      </c>
      <c r="O137">
        <v>5</v>
      </c>
      <c r="P137">
        <v>34.1</v>
      </c>
      <c r="Q137" t="s">
        <v>19</v>
      </c>
      <c r="S137">
        <v>35</v>
      </c>
      <c r="T137">
        <v>31.976553910638962</v>
      </c>
      <c r="U137">
        <v>5.65</v>
      </c>
      <c r="W137">
        <f t="shared" si="24"/>
        <v>7</v>
      </c>
      <c r="X137">
        <f t="shared" si="25"/>
        <v>18.25</v>
      </c>
      <c r="Y137">
        <f t="shared" si="26"/>
        <v>22.2</v>
      </c>
      <c r="Z137">
        <f t="shared" si="27"/>
        <v>15</v>
      </c>
      <c r="AA137">
        <f t="shared" si="28"/>
        <v>47</v>
      </c>
      <c r="AB137">
        <f t="shared" si="29"/>
        <v>174</v>
      </c>
      <c r="AC137" t="str">
        <f t="shared" si="30"/>
        <v>N</v>
      </c>
      <c r="AD137" t="str">
        <f t="shared" si="31"/>
        <v>E</v>
      </c>
      <c r="AE137">
        <f t="shared" si="32"/>
        <v>2</v>
      </c>
    </row>
    <row r="138" spans="1:31" x14ac:dyDescent="0.25">
      <c r="A138">
        <v>11.3</v>
      </c>
      <c r="B138">
        <v>32.299999999999997</v>
      </c>
      <c r="C138">
        <v>0</v>
      </c>
      <c r="D138">
        <v>9.4</v>
      </c>
      <c r="E138">
        <v>11.4</v>
      </c>
      <c r="F138">
        <v>28</v>
      </c>
      <c r="G138" t="s">
        <v>21</v>
      </c>
      <c r="H138" t="s">
        <v>26</v>
      </c>
      <c r="I138">
        <v>4</v>
      </c>
      <c r="J138">
        <v>6</v>
      </c>
      <c r="K138">
        <v>44</v>
      </c>
      <c r="L138">
        <v>17</v>
      </c>
      <c r="M138">
        <v>1024.3</v>
      </c>
      <c r="N138">
        <v>1020.7</v>
      </c>
      <c r="O138">
        <v>5</v>
      </c>
      <c r="P138">
        <v>30.5</v>
      </c>
      <c r="Q138" t="s">
        <v>19</v>
      </c>
      <c r="S138">
        <v>32</v>
      </c>
      <c r="T138">
        <v>32.004687156727528</v>
      </c>
      <c r="U138">
        <v>5.66</v>
      </c>
      <c r="W138">
        <f t="shared" si="24"/>
        <v>6</v>
      </c>
      <c r="X138">
        <f t="shared" si="25"/>
        <v>17.75</v>
      </c>
      <c r="Y138">
        <f t="shared" si="26"/>
        <v>21.4</v>
      </c>
      <c r="Z138">
        <f t="shared" si="27"/>
        <v>17</v>
      </c>
      <c r="AA138">
        <f t="shared" si="28"/>
        <v>177</v>
      </c>
      <c r="AB138">
        <f t="shared" si="29"/>
        <v>42</v>
      </c>
      <c r="AC138" t="str">
        <f t="shared" si="30"/>
        <v>N</v>
      </c>
      <c r="AD138" t="str">
        <f t="shared" si="31"/>
        <v>W</v>
      </c>
      <c r="AE138">
        <f t="shared" si="32"/>
        <v>3</v>
      </c>
    </row>
    <row r="139" spans="1:31" x14ac:dyDescent="0.25">
      <c r="A139">
        <v>11.7</v>
      </c>
      <c r="B139">
        <v>30.2</v>
      </c>
      <c r="C139">
        <v>0</v>
      </c>
      <c r="D139">
        <v>7.8</v>
      </c>
      <c r="E139">
        <v>11.2</v>
      </c>
      <c r="F139">
        <v>33</v>
      </c>
      <c r="G139" t="s">
        <v>28</v>
      </c>
      <c r="H139" t="s">
        <v>33</v>
      </c>
      <c r="I139">
        <v>9</v>
      </c>
      <c r="J139">
        <v>13</v>
      </c>
      <c r="K139">
        <v>73</v>
      </c>
      <c r="L139">
        <v>22</v>
      </c>
      <c r="M139">
        <v>1024.3</v>
      </c>
      <c r="N139">
        <v>1020.6</v>
      </c>
      <c r="O139">
        <v>1</v>
      </c>
      <c r="P139">
        <v>28.8</v>
      </c>
      <c r="Q139" t="s">
        <v>19</v>
      </c>
      <c r="S139">
        <v>30</v>
      </c>
      <c r="T139">
        <v>32.004687156727528</v>
      </c>
      <c r="U139">
        <v>5.66</v>
      </c>
      <c r="W139">
        <f t="shared" si="24"/>
        <v>13</v>
      </c>
      <c r="X139">
        <f t="shared" si="25"/>
        <v>29.25</v>
      </c>
      <c r="Y139">
        <f t="shared" si="26"/>
        <v>33.200000000000003</v>
      </c>
      <c r="Z139">
        <f t="shared" si="27"/>
        <v>22</v>
      </c>
      <c r="AA139">
        <f t="shared" si="28"/>
        <v>129</v>
      </c>
      <c r="AB139">
        <f t="shared" si="29"/>
        <v>90</v>
      </c>
      <c r="AC139" t="str">
        <f t="shared" si="30"/>
        <v>N</v>
      </c>
      <c r="AD139" t="str">
        <f t="shared" si="31"/>
        <v>W</v>
      </c>
      <c r="AE139">
        <f t="shared" si="32"/>
        <v>3</v>
      </c>
    </row>
    <row r="140" spans="1:31" x14ac:dyDescent="0.25">
      <c r="A140">
        <v>12.5</v>
      </c>
      <c r="B140">
        <v>29.9</v>
      </c>
      <c r="C140">
        <v>0</v>
      </c>
      <c r="D140">
        <v>5.8</v>
      </c>
      <c r="E140">
        <v>10.7</v>
      </c>
      <c r="F140">
        <v>43</v>
      </c>
      <c r="G140" t="s">
        <v>35</v>
      </c>
      <c r="H140" t="s">
        <v>26</v>
      </c>
      <c r="I140">
        <v>0</v>
      </c>
      <c r="J140">
        <v>19</v>
      </c>
      <c r="K140">
        <v>76</v>
      </c>
      <c r="L140">
        <v>30</v>
      </c>
      <c r="M140">
        <v>1022.7</v>
      </c>
      <c r="N140">
        <v>1018.8</v>
      </c>
      <c r="O140">
        <v>0</v>
      </c>
      <c r="P140">
        <v>29.2</v>
      </c>
      <c r="Q140" t="s">
        <v>19</v>
      </c>
      <c r="S140">
        <v>30</v>
      </c>
      <c r="T140">
        <v>31.979681049066141</v>
      </c>
      <c r="U140">
        <v>5.66</v>
      </c>
      <c r="W140">
        <f t="shared" si="24"/>
        <v>19</v>
      </c>
      <c r="X140">
        <f t="shared" si="25"/>
        <v>31.25</v>
      </c>
      <c r="Y140">
        <f t="shared" si="26"/>
        <v>29.7</v>
      </c>
      <c r="Z140">
        <f t="shared" si="27"/>
        <v>30</v>
      </c>
      <c r="AA140">
        <f t="shared" si="28"/>
        <v>75</v>
      </c>
      <c r="AB140">
        <f t="shared" si="29"/>
        <v>139</v>
      </c>
      <c r="AC140" t="str">
        <f t="shared" si="30"/>
        <v>N</v>
      </c>
      <c r="AD140" t="str">
        <f t="shared" si="31"/>
        <v>W</v>
      </c>
      <c r="AE140">
        <f t="shared" si="32"/>
        <v>2</v>
      </c>
    </row>
    <row r="141" spans="1:31" x14ac:dyDescent="0.25">
      <c r="A141">
        <v>15.1</v>
      </c>
      <c r="B141">
        <v>26.2</v>
      </c>
      <c r="C141">
        <v>0</v>
      </c>
      <c r="D141">
        <v>9</v>
      </c>
      <c r="E141">
        <v>9.8000000000000007</v>
      </c>
      <c r="F141">
        <v>31</v>
      </c>
      <c r="G141" t="s">
        <v>29</v>
      </c>
      <c r="H141" t="s">
        <v>25</v>
      </c>
      <c r="I141">
        <v>4</v>
      </c>
      <c r="J141">
        <v>15</v>
      </c>
      <c r="K141">
        <v>59</v>
      </c>
      <c r="L141">
        <v>48</v>
      </c>
      <c r="M141">
        <v>1022.1</v>
      </c>
      <c r="N141">
        <v>1018.7</v>
      </c>
      <c r="O141">
        <v>1</v>
      </c>
      <c r="P141">
        <v>24.5</v>
      </c>
      <c r="Q141" t="s">
        <v>19</v>
      </c>
      <c r="S141">
        <v>26</v>
      </c>
      <c r="T141">
        <v>31.970298716152154</v>
      </c>
      <c r="U141">
        <v>5.65</v>
      </c>
      <c r="W141">
        <f t="shared" si="24"/>
        <v>15</v>
      </c>
      <c r="X141">
        <f t="shared" si="25"/>
        <v>31.5</v>
      </c>
      <c r="Y141">
        <f t="shared" si="26"/>
        <v>28.8</v>
      </c>
      <c r="Z141">
        <f t="shared" si="27"/>
        <v>48</v>
      </c>
      <c r="AA141">
        <f t="shared" si="28"/>
        <v>137</v>
      </c>
      <c r="AB141">
        <f t="shared" si="29"/>
        <v>65</v>
      </c>
      <c r="AC141" t="str">
        <f t="shared" si="30"/>
        <v>N</v>
      </c>
      <c r="AD141" t="str">
        <f t="shared" si="31"/>
        <v>E</v>
      </c>
      <c r="AE141">
        <f t="shared" si="32"/>
        <v>2</v>
      </c>
    </row>
    <row r="142" spans="1:31" x14ac:dyDescent="0.25">
      <c r="A142">
        <v>11.5</v>
      </c>
      <c r="B142">
        <v>29.3</v>
      </c>
      <c r="C142">
        <v>0</v>
      </c>
      <c r="D142">
        <v>5.2</v>
      </c>
      <c r="E142">
        <v>8</v>
      </c>
      <c r="F142">
        <v>46</v>
      </c>
      <c r="G142" t="s">
        <v>35</v>
      </c>
      <c r="H142" t="s">
        <v>31</v>
      </c>
      <c r="I142">
        <v>0</v>
      </c>
      <c r="J142">
        <v>26</v>
      </c>
      <c r="K142">
        <v>76</v>
      </c>
      <c r="L142">
        <v>35</v>
      </c>
      <c r="M142">
        <v>1013.8</v>
      </c>
      <c r="N142">
        <v>1009.4</v>
      </c>
      <c r="O142">
        <v>7</v>
      </c>
      <c r="P142">
        <v>27.6</v>
      </c>
      <c r="Q142" t="s">
        <v>19</v>
      </c>
      <c r="S142">
        <v>29</v>
      </c>
      <c r="T142">
        <v>31.840226129850272</v>
      </c>
      <c r="U142">
        <v>5.64</v>
      </c>
      <c r="W142">
        <f t="shared" si="24"/>
        <v>26</v>
      </c>
      <c r="X142">
        <f t="shared" si="25"/>
        <v>34.25</v>
      </c>
      <c r="Y142">
        <f t="shared" si="26"/>
        <v>34</v>
      </c>
      <c r="Z142">
        <f t="shared" si="27"/>
        <v>35</v>
      </c>
      <c r="AA142">
        <f t="shared" si="28"/>
        <v>56</v>
      </c>
      <c r="AB142">
        <f t="shared" si="29"/>
        <v>157</v>
      </c>
      <c r="AC142" t="str">
        <f t="shared" si="30"/>
        <v>N</v>
      </c>
      <c r="AD142" t="str">
        <f t="shared" si="31"/>
        <v>W</v>
      </c>
      <c r="AE142">
        <f t="shared" si="32"/>
        <v>2</v>
      </c>
    </row>
    <row r="143" spans="1:31" x14ac:dyDescent="0.25">
      <c r="A143">
        <v>13</v>
      </c>
      <c r="B143">
        <v>14.8</v>
      </c>
      <c r="C143">
        <v>0</v>
      </c>
      <c r="D143">
        <v>8.1999999999999993</v>
      </c>
      <c r="E143">
        <v>0</v>
      </c>
      <c r="F143">
        <v>30</v>
      </c>
      <c r="G143" t="s">
        <v>28</v>
      </c>
      <c r="H143" t="s">
        <v>28</v>
      </c>
      <c r="I143">
        <v>9</v>
      </c>
      <c r="J143">
        <v>17</v>
      </c>
      <c r="K143">
        <v>77</v>
      </c>
      <c r="L143">
        <v>62</v>
      </c>
      <c r="M143">
        <v>1017.4</v>
      </c>
      <c r="N143">
        <v>1019.3</v>
      </c>
      <c r="O143">
        <v>7</v>
      </c>
      <c r="P143">
        <v>13.9</v>
      </c>
      <c r="Q143" t="s">
        <v>19</v>
      </c>
      <c r="S143">
        <v>15</v>
      </c>
      <c r="T143">
        <v>31.896708294117122</v>
      </c>
      <c r="U143">
        <v>5.65</v>
      </c>
      <c r="W143">
        <f t="shared" si="24"/>
        <v>17</v>
      </c>
      <c r="X143">
        <f t="shared" si="25"/>
        <v>41.25</v>
      </c>
      <c r="Y143">
        <f t="shared" si="26"/>
        <v>26</v>
      </c>
      <c r="Z143">
        <f t="shared" si="27"/>
        <v>62</v>
      </c>
      <c r="AA143">
        <f t="shared" si="28"/>
        <v>160</v>
      </c>
      <c r="AB143">
        <f t="shared" si="29"/>
        <v>52</v>
      </c>
      <c r="AC143" t="str">
        <f t="shared" si="30"/>
        <v>N</v>
      </c>
      <c r="AD143" t="str">
        <f t="shared" si="31"/>
        <v>E</v>
      </c>
      <c r="AE143">
        <f t="shared" si="32"/>
        <v>3</v>
      </c>
    </row>
    <row r="144" spans="1:31" x14ac:dyDescent="0.25">
      <c r="A144">
        <v>11.6</v>
      </c>
      <c r="B144">
        <v>19.600000000000001</v>
      </c>
      <c r="C144">
        <v>0</v>
      </c>
      <c r="D144">
        <v>2.8</v>
      </c>
      <c r="E144">
        <v>1.6</v>
      </c>
      <c r="F144">
        <v>33</v>
      </c>
      <c r="G144" t="s">
        <v>29</v>
      </c>
      <c r="H144" t="s">
        <v>28</v>
      </c>
      <c r="I144">
        <v>6</v>
      </c>
      <c r="J144">
        <v>17</v>
      </c>
      <c r="K144">
        <v>71</v>
      </c>
      <c r="L144">
        <v>64</v>
      </c>
      <c r="M144">
        <v>1023.6</v>
      </c>
      <c r="N144">
        <v>1021.8</v>
      </c>
      <c r="O144">
        <v>7</v>
      </c>
      <c r="P144">
        <v>17.899999999999999</v>
      </c>
      <c r="Q144" t="s">
        <v>19</v>
      </c>
      <c r="S144">
        <v>20</v>
      </c>
      <c r="T144">
        <v>31.993749389529199</v>
      </c>
      <c r="U144">
        <v>5.66</v>
      </c>
      <c r="W144">
        <f t="shared" si="24"/>
        <v>17</v>
      </c>
      <c r="X144">
        <f t="shared" si="25"/>
        <v>39.5</v>
      </c>
      <c r="Y144">
        <f t="shared" si="26"/>
        <v>24.6</v>
      </c>
      <c r="Z144">
        <f t="shared" si="27"/>
        <v>64</v>
      </c>
      <c r="AA144">
        <f t="shared" si="28"/>
        <v>127</v>
      </c>
      <c r="AB144">
        <f t="shared" si="29"/>
        <v>88</v>
      </c>
      <c r="AC144" t="str">
        <f t="shared" si="30"/>
        <v>N</v>
      </c>
      <c r="AD144" t="str">
        <f t="shared" si="31"/>
        <v>E</v>
      </c>
      <c r="AE144">
        <f t="shared" si="32"/>
        <v>2</v>
      </c>
    </row>
    <row r="145" spans="1:31" x14ac:dyDescent="0.25">
      <c r="A145">
        <v>12.8</v>
      </c>
      <c r="B145">
        <v>24.9</v>
      </c>
      <c r="C145">
        <v>0</v>
      </c>
      <c r="D145">
        <v>2.4</v>
      </c>
      <c r="E145">
        <v>6.2</v>
      </c>
      <c r="F145">
        <v>30</v>
      </c>
      <c r="G145" t="s">
        <v>33</v>
      </c>
      <c r="H145" t="s">
        <v>18</v>
      </c>
      <c r="I145">
        <v>6</v>
      </c>
      <c r="J145">
        <v>7</v>
      </c>
      <c r="K145">
        <v>76</v>
      </c>
      <c r="L145">
        <v>44</v>
      </c>
      <c r="M145">
        <v>1023.2</v>
      </c>
      <c r="N145">
        <v>1019.3</v>
      </c>
      <c r="O145">
        <v>7</v>
      </c>
      <c r="P145">
        <v>24.2</v>
      </c>
      <c r="Q145" t="s">
        <v>19</v>
      </c>
      <c r="S145">
        <v>25</v>
      </c>
      <c r="T145">
        <v>31.98749755763961</v>
      </c>
      <c r="U145">
        <v>5.66</v>
      </c>
      <c r="W145">
        <f t="shared" si="24"/>
        <v>7</v>
      </c>
      <c r="X145">
        <f t="shared" si="25"/>
        <v>33.25</v>
      </c>
      <c r="Y145">
        <f t="shared" si="26"/>
        <v>19.2</v>
      </c>
      <c r="Z145">
        <f t="shared" si="27"/>
        <v>44</v>
      </c>
      <c r="AA145">
        <f t="shared" si="28"/>
        <v>159</v>
      </c>
      <c r="AB145">
        <f t="shared" si="29"/>
        <v>52</v>
      </c>
      <c r="AC145" t="str">
        <f t="shared" si="30"/>
        <v>N</v>
      </c>
      <c r="AD145" t="str">
        <f t="shared" si="31"/>
        <v>W</v>
      </c>
      <c r="AE145">
        <f t="shared" si="32"/>
        <v>3</v>
      </c>
    </row>
    <row r="146" spans="1:31" x14ac:dyDescent="0.25">
      <c r="A146">
        <v>15.5</v>
      </c>
      <c r="B146">
        <v>22.4</v>
      </c>
      <c r="C146">
        <v>0.6</v>
      </c>
      <c r="D146">
        <v>4.8</v>
      </c>
      <c r="E146">
        <v>1.9</v>
      </c>
      <c r="F146">
        <v>28</v>
      </c>
      <c r="G146" t="s">
        <v>27</v>
      </c>
      <c r="H146" t="s">
        <v>26</v>
      </c>
      <c r="I146">
        <v>6</v>
      </c>
      <c r="J146">
        <v>19</v>
      </c>
      <c r="K146">
        <v>89</v>
      </c>
      <c r="L146">
        <v>68</v>
      </c>
      <c r="M146">
        <v>1018.7</v>
      </c>
      <c r="N146">
        <v>1015.4</v>
      </c>
      <c r="O146">
        <v>8</v>
      </c>
      <c r="P146">
        <v>21.1</v>
      </c>
      <c r="Q146" t="s">
        <v>19</v>
      </c>
      <c r="S146">
        <v>22</v>
      </c>
      <c r="T146">
        <v>31.917080066948483</v>
      </c>
      <c r="U146">
        <v>5.65</v>
      </c>
      <c r="W146">
        <f t="shared" si="24"/>
        <v>19</v>
      </c>
      <c r="X146">
        <f t="shared" si="25"/>
        <v>45.5</v>
      </c>
      <c r="Y146">
        <f t="shared" si="26"/>
        <v>26.9</v>
      </c>
      <c r="Z146">
        <f t="shared" si="27"/>
        <v>68</v>
      </c>
      <c r="AA146">
        <f t="shared" si="28"/>
        <v>170</v>
      </c>
      <c r="AB146">
        <f t="shared" si="29"/>
        <v>42</v>
      </c>
      <c r="AC146" t="str">
        <f t="shared" si="30"/>
        <v>N</v>
      </c>
      <c r="AD146" t="str">
        <f t="shared" si="31"/>
        <v>W</v>
      </c>
      <c r="AE146">
        <f t="shared" si="32"/>
        <v>3</v>
      </c>
    </row>
    <row r="147" spans="1:31" x14ac:dyDescent="0.25">
      <c r="A147">
        <v>13.1</v>
      </c>
      <c r="B147">
        <v>17.399999999999999</v>
      </c>
      <c r="C147">
        <v>6.4</v>
      </c>
      <c r="D147">
        <v>2.8</v>
      </c>
      <c r="E147">
        <v>0</v>
      </c>
      <c r="F147">
        <v>43</v>
      </c>
      <c r="G147" t="s">
        <v>24</v>
      </c>
      <c r="H147" t="s">
        <v>24</v>
      </c>
      <c r="I147">
        <v>11</v>
      </c>
      <c r="J147">
        <v>20</v>
      </c>
      <c r="K147">
        <v>94</v>
      </c>
      <c r="L147">
        <v>93</v>
      </c>
      <c r="M147">
        <v>1010.2</v>
      </c>
      <c r="N147">
        <v>1006.5</v>
      </c>
      <c r="O147">
        <v>8</v>
      </c>
      <c r="P147">
        <v>16.600000000000001</v>
      </c>
      <c r="Q147" t="s">
        <v>20</v>
      </c>
      <c r="S147">
        <v>17</v>
      </c>
      <c r="T147">
        <v>31.783643592262987</v>
      </c>
      <c r="U147">
        <v>5.64</v>
      </c>
      <c r="W147">
        <f t="shared" si="24"/>
        <v>20</v>
      </c>
      <c r="X147">
        <f t="shared" si="25"/>
        <v>54.5</v>
      </c>
      <c r="Y147">
        <f t="shared" si="26"/>
        <v>31</v>
      </c>
      <c r="Z147">
        <f t="shared" si="27"/>
        <v>93</v>
      </c>
      <c r="AA147">
        <f t="shared" si="28"/>
        <v>74</v>
      </c>
      <c r="AB147">
        <f t="shared" si="29"/>
        <v>134</v>
      </c>
      <c r="AC147" t="str">
        <f t="shared" si="30"/>
        <v>Y</v>
      </c>
      <c r="AD147" t="str">
        <f t="shared" si="31"/>
        <v>N</v>
      </c>
      <c r="AE147">
        <f t="shared" si="32"/>
        <v>1</v>
      </c>
    </row>
    <row r="148" spans="1:31" x14ac:dyDescent="0.25">
      <c r="A148">
        <v>12.6</v>
      </c>
      <c r="B148">
        <v>20.2</v>
      </c>
      <c r="C148">
        <v>19.8</v>
      </c>
      <c r="D148">
        <v>2.6</v>
      </c>
      <c r="E148">
        <v>9.1</v>
      </c>
      <c r="F148">
        <v>46</v>
      </c>
      <c r="G148" t="s">
        <v>33</v>
      </c>
      <c r="H148" t="s">
        <v>23</v>
      </c>
      <c r="I148">
        <v>17</v>
      </c>
      <c r="J148">
        <v>20</v>
      </c>
      <c r="K148">
        <v>76</v>
      </c>
      <c r="L148">
        <v>50</v>
      </c>
      <c r="M148">
        <v>1007.9</v>
      </c>
      <c r="N148">
        <v>1008.4</v>
      </c>
      <c r="O148">
        <v>5</v>
      </c>
      <c r="P148">
        <v>17.399999999999999</v>
      </c>
      <c r="Q148" t="s">
        <v>20</v>
      </c>
      <c r="S148">
        <v>20</v>
      </c>
      <c r="T148">
        <v>31.747440841743447</v>
      </c>
      <c r="U148">
        <v>5.63</v>
      </c>
      <c r="W148">
        <f t="shared" si="24"/>
        <v>20</v>
      </c>
      <c r="X148">
        <f t="shared" si="25"/>
        <v>40.75</v>
      </c>
      <c r="Y148">
        <f t="shared" si="26"/>
        <v>46.1</v>
      </c>
      <c r="Z148">
        <f t="shared" si="27"/>
        <v>50</v>
      </c>
      <c r="AA148">
        <f t="shared" si="28"/>
        <v>56</v>
      </c>
      <c r="AB148">
        <f t="shared" si="29"/>
        <v>152</v>
      </c>
      <c r="AC148" t="str">
        <f t="shared" si="30"/>
        <v>Y</v>
      </c>
      <c r="AD148" t="str">
        <f t="shared" si="31"/>
        <v>W</v>
      </c>
      <c r="AE148">
        <f t="shared" si="32"/>
        <v>3</v>
      </c>
    </row>
    <row r="149" spans="1:31" x14ac:dyDescent="0.25">
      <c r="A149">
        <v>4.4000000000000004</v>
      </c>
      <c r="B149">
        <v>18.3</v>
      </c>
      <c r="C149">
        <v>0</v>
      </c>
      <c r="D149">
        <v>4.5999999999999996</v>
      </c>
      <c r="E149">
        <v>9.6</v>
      </c>
      <c r="F149">
        <v>33</v>
      </c>
      <c r="G149" t="s">
        <v>29</v>
      </c>
      <c r="H149" t="s">
        <v>24</v>
      </c>
      <c r="I149">
        <v>7</v>
      </c>
      <c r="J149">
        <v>17</v>
      </c>
      <c r="K149">
        <v>80</v>
      </c>
      <c r="L149">
        <v>36</v>
      </c>
      <c r="M149">
        <v>1014.8</v>
      </c>
      <c r="N149">
        <v>1012.6</v>
      </c>
      <c r="O149">
        <v>1</v>
      </c>
      <c r="P149">
        <v>17.399999999999999</v>
      </c>
      <c r="Q149" t="s">
        <v>19</v>
      </c>
      <c r="S149">
        <v>18</v>
      </c>
      <c r="T149">
        <v>31.855925665407998</v>
      </c>
      <c r="U149">
        <v>5.64</v>
      </c>
      <c r="W149">
        <f t="shared" si="24"/>
        <v>17</v>
      </c>
      <c r="X149">
        <f t="shared" si="25"/>
        <v>35</v>
      </c>
      <c r="Y149">
        <f t="shared" si="26"/>
        <v>33.6</v>
      </c>
      <c r="Z149">
        <f t="shared" si="27"/>
        <v>36</v>
      </c>
      <c r="AA149">
        <f t="shared" si="28"/>
        <v>125</v>
      </c>
      <c r="AB149">
        <f t="shared" si="29"/>
        <v>86</v>
      </c>
      <c r="AC149" t="str">
        <f t="shared" si="30"/>
        <v>N</v>
      </c>
      <c r="AD149" t="str">
        <f t="shared" si="31"/>
        <v>N</v>
      </c>
      <c r="AE149">
        <f t="shared" si="32"/>
        <v>2</v>
      </c>
    </row>
    <row r="150" spans="1:31" x14ac:dyDescent="0.25">
      <c r="A150">
        <v>4.4000000000000004</v>
      </c>
      <c r="B150">
        <v>18.2</v>
      </c>
      <c r="C150">
        <v>0</v>
      </c>
      <c r="D150">
        <v>3.6</v>
      </c>
      <c r="E150">
        <v>11</v>
      </c>
      <c r="F150">
        <v>31</v>
      </c>
      <c r="G150" t="s">
        <v>29</v>
      </c>
      <c r="H150" t="s">
        <v>26</v>
      </c>
      <c r="I150">
        <v>7</v>
      </c>
      <c r="J150">
        <v>19</v>
      </c>
      <c r="K150">
        <v>78</v>
      </c>
      <c r="L150">
        <v>35</v>
      </c>
      <c r="M150">
        <v>1017.4</v>
      </c>
      <c r="N150">
        <v>1015</v>
      </c>
      <c r="O150">
        <v>1</v>
      </c>
      <c r="P150">
        <v>17.2</v>
      </c>
      <c r="Q150" t="s">
        <v>19</v>
      </c>
      <c r="S150">
        <v>18</v>
      </c>
      <c r="T150">
        <v>31.896708294117122</v>
      </c>
      <c r="U150">
        <v>5.65</v>
      </c>
      <c r="W150">
        <f t="shared" si="24"/>
        <v>19</v>
      </c>
      <c r="X150">
        <f t="shared" si="25"/>
        <v>34.75</v>
      </c>
      <c r="Y150">
        <f t="shared" si="26"/>
        <v>37</v>
      </c>
      <c r="Z150">
        <f t="shared" si="27"/>
        <v>35</v>
      </c>
      <c r="AA150">
        <f t="shared" si="28"/>
        <v>132</v>
      </c>
      <c r="AB150">
        <f t="shared" si="29"/>
        <v>62</v>
      </c>
      <c r="AC150" t="str">
        <f t="shared" si="30"/>
        <v>N</v>
      </c>
      <c r="AD150" t="str">
        <f t="shared" si="31"/>
        <v>W</v>
      </c>
      <c r="AE150">
        <f t="shared" si="32"/>
        <v>2</v>
      </c>
    </row>
    <row r="151" spans="1:31" x14ac:dyDescent="0.25">
      <c r="A151">
        <v>7.1</v>
      </c>
      <c r="B151">
        <v>18.5</v>
      </c>
      <c r="C151">
        <v>0</v>
      </c>
      <c r="D151">
        <v>3.4</v>
      </c>
      <c r="E151">
        <v>10</v>
      </c>
      <c r="F151">
        <v>57</v>
      </c>
      <c r="G151" t="s">
        <v>24</v>
      </c>
      <c r="H151" t="s">
        <v>17</v>
      </c>
      <c r="I151">
        <v>9</v>
      </c>
      <c r="J151">
        <v>22</v>
      </c>
      <c r="K151">
        <v>90</v>
      </c>
      <c r="L151">
        <v>30</v>
      </c>
      <c r="M151">
        <v>1015.1</v>
      </c>
      <c r="N151">
        <v>1011.3</v>
      </c>
      <c r="O151">
        <v>6</v>
      </c>
      <c r="P151">
        <v>18.2</v>
      </c>
      <c r="Q151" t="s">
        <v>19</v>
      </c>
      <c r="S151">
        <v>19</v>
      </c>
      <c r="T151">
        <v>31.860634017545852</v>
      </c>
      <c r="U151">
        <v>5.64</v>
      </c>
      <c r="W151">
        <f t="shared" si="24"/>
        <v>22</v>
      </c>
      <c r="X151">
        <f t="shared" si="25"/>
        <v>37.75</v>
      </c>
      <c r="Y151">
        <f t="shared" si="26"/>
        <v>41</v>
      </c>
      <c r="Z151">
        <f t="shared" si="27"/>
        <v>30</v>
      </c>
      <c r="AA151">
        <f t="shared" si="28"/>
        <v>27</v>
      </c>
      <c r="AB151">
        <f t="shared" si="29"/>
        <v>185</v>
      </c>
      <c r="AC151" t="str">
        <f t="shared" si="30"/>
        <v>N</v>
      </c>
      <c r="AD151" t="str">
        <f t="shared" si="31"/>
        <v>W</v>
      </c>
      <c r="AE151">
        <f t="shared" si="32"/>
        <v>1</v>
      </c>
    </row>
    <row r="152" spans="1:31" x14ac:dyDescent="0.25">
      <c r="A152">
        <v>4.2</v>
      </c>
      <c r="B152">
        <v>18.899999999999999</v>
      </c>
      <c r="C152">
        <v>0</v>
      </c>
      <c r="D152">
        <v>6.4</v>
      </c>
      <c r="E152">
        <v>10.8</v>
      </c>
      <c r="F152">
        <v>50</v>
      </c>
      <c r="G152" t="s">
        <v>31</v>
      </c>
      <c r="H152" t="s">
        <v>26</v>
      </c>
      <c r="I152">
        <v>6</v>
      </c>
      <c r="J152">
        <v>31</v>
      </c>
      <c r="K152">
        <v>60</v>
      </c>
      <c r="L152">
        <v>34</v>
      </c>
      <c r="M152">
        <v>1011.2</v>
      </c>
      <c r="N152">
        <v>1009.3</v>
      </c>
      <c r="O152">
        <v>3</v>
      </c>
      <c r="P152">
        <v>18.100000000000001</v>
      </c>
      <c r="Q152" t="s">
        <v>19</v>
      </c>
      <c r="S152">
        <v>19</v>
      </c>
      <c r="T152">
        <v>31.799371062962866</v>
      </c>
      <c r="U152">
        <v>5.64</v>
      </c>
      <c r="W152">
        <f t="shared" si="24"/>
        <v>31</v>
      </c>
      <c r="X152">
        <f t="shared" si="25"/>
        <v>32.75</v>
      </c>
      <c r="Y152">
        <f t="shared" si="26"/>
        <v>47.8</v>
      </c>
      <c r="Z152">
        <f t="shared" si="27"/>
        <v>34</v>
      </c>
      <c r="AA152">
        <f t="shared" si="28"/>
        <v>40</v>
      </c>
      <c r="AB152">
        <f t="shared" si="29"/>
        <v>170</v>
      </c>
      <c r="AC152" t="str">
        <f t="shared" si="30"/>
        <v>N</v>
      </c>
      <c r="AD152" t="str">
        <f t="shared" si="31"/>
        <v>W</v>
      </c>
      <c r="AE152">
        <f t="shared" si="32"/>
        <v>3</v>
      </c>
    </row>
    <row r="153" spans="1:31" x14ac:dyDescent="0.25">
      <c r="A153">
        <v>9.6</v>
      </c>
      <c r="B153">
        <v>18.8</v>
      </c>
      <c r="C153">
        <v>0</v>
      </c>
      <c r="D153">
        <v>6.4</v>
      </c>
      <c r="E153">
        <v>10</v>
      </c>
      <c r="F153">
        <v>57</v>
      </c>
      <c r="G153" t="s">
        <v>17</v>
      </c>
      <c r="H153" t="s">
        <v>23</v>
      </c>
      <c r="I153">
        <v>19</v>
      </c>
      <c r="J153">
        <v>26</v>
      </c>
      <c r="K153">
        <v>54</v>
      </c>
      <c r="L153">
        <v>42</v>
      </c>
      <c r="M153">
        <v>1012.7</v>
      </c>
      <c r="N153">
        <v>1013</v>
      </c>
      <c r="O153">
        <v>2</v>
      </c>
      <c r="P153">
        <v>16.5</v>
      </c>
      <c r="Q153" t="s">
        <v>19</v>
      </c>
      <c r="S153">
        <v>19</v>
      </c>
      <c r="T153">
        <v>31.822947695020336</v>
      </c>
      <c r="U153">
        <v>5.64</v>
      </c>
      <c r="W153">
        <f t="shared" si="24"/>
        <v>26</v>
      </c>
      <c r="X153">
        <f t="shared" si="25"/>
        <v>35.25</v>
      </c>
      <c r="Y153">
        <f t="shared" si="26"/>
        <v>55</v>
      </c>
      <c r="Z153">
        <f t="shared" si="27"/>
        <v>42</v>
      </c>
      <c r="AA153">
        <f t="shared" si="28"/>
        <v>27</v>
      </c>
      <c r="AB153">
        <f t="shared" si="29"/>
        <v>184</v>
      </c>
      <c r="AC153" t="str">
        <f t="shared" si="30"/>
        <v>N</v>
      </c>
      <c r="AD153" t="str">
        <f t="shared" si="31"/>
        <v>W</v>
      </c>
      <c r="AE153">
        <f t="shared" si="32"/>
        <v>2</v>
      </c>
    </row>
    <row r="154" spans="1:31" x14ac:dyDescent="0.25">
      <c r="A154">
        <v>3.5</v>
      </c>
      <c r="B154">
        <v>21.8</v>
      </c>
      <c r="C154">
        <v>0</v>
      </c>
      <c r="D154">
        <v>6</v>
      </c>
      <c r="E154">
        <v>10.3</v>
      </c>
      <c r="F154">
        <v>22</v>
      </c>
      <c r="G154" t="s">
        <v>28</v>
      </c>
      <c r="H154" t="s">
        <v>26</v>
      </c>
      <c r="I154">
        <v>7</v>
      </c>
      <c r="J154">
        <v>11</v>
      </c>
      <c r="K154">
        <v>72</v>
      </c>
      <c r="L154">
        <v>34</v>
      </c>
      <c r="M154">
        <v>1023.9</v>
      </c>
      <c r="N154">
        <v>1021.2</v>
      </c>
      <c r="O154">
        <v>0</v>
      </c>
      <c r="P154">
        <v>21.2</v>
      </c>
      <c r="Q154" t="s">
        <v>19</v>
      </c>
      <c r="S154">
        <v>22</v>
      </c>
      <c r="T154">
        <v>31.998437461851164</v>
      </c>
      <c r="U154">
        <v>5.66</v>
      </c>
      <c r="W154">
        <f t="shared" si="24"/>
        <v>11</v>
      </c>
      <c r="X154">
        <f t="shared" si="25"/>
        <v>31</v>
      </c>
      <c r="Y154">
        <f t="shared" si="26"/>
        <v>28.3</v>
      </c>
      <c r="Z154">
        <f t="shared" si="27"/>
        <v>34</v>
      </c>
      <c r="AA154">
        <f t="shared" si="28"/>
        <v>184</v>
      </c>
      <c r="AB154">
        <f t="shared" si="29"/>
        <v>21</v>
      </c>
      <c r="AC154" t="str">
        <f t="shared" si="30"/>
        <v>N</v>
      </c>
      <c r="AD154" t="str">
        <f t="shared" si="31"/>
        <v>W</v>
      </c>
      <c r="AE154">
        <f t="shared" si="32"/>
        <v>3</v>
      </c>
    </row>
    <row r="155" spans="1:31" x14ac:dyDescent="0.25">
      <c r="A155">
        <v>5.3</v>
      </c>
      <c r="B155">
        <v>23.3</v>
      </c>
      <c r="C155">
        <v>0</v>
      </c>
      <c r="D155">
        <v>3.6</v>
      </c>
      <c r="E155">
        <v>5.6</v>
      </c>
      <c r="F155">
        <v>83</v>
      </c>
      <c r="G155" t="s">
        <v>34</v>
      </c>
      <c r="H155" t="s">
        <v>17</v>
      </c>
      <c r="I155">
        <v>2</v>
      </c>
      <c r="J155">
        <v>37</v>
      </c>
      <c r="K155">
        <v>90</v>
      </c>
      <c r="L155">
        <v>26</v>
      </c>
      <c r="M155">
        <v>1018</v>
      </c>
      <c r="N155">
        <v>1010.5</v>
      </c>
      <c r="O155">
        <v>1</v>
      </c>
      <c r="P155">
        <v>22.5</v>
      </c>
      <c r="Q155" t="s">
        <v>19</v>
      </c>
      <c r="S155">
        <v>23</v>
      </c>
      <c r="T155">
        <v>31.906112267087632</v>
      </c>
      <c r="U155">
        <v>5.65</v>
      </c>
      <c r="W155">
        <f t="shared" si="24"/>
        <v>37</v>
      </c>
      <c r="X155">
        <f t="shared" si="25"/>
        <v>38.75</v>
      </c>
      <c r="Y155">
        <f t="shared" si="26"/>
        <v>44.6</v>
      </c>
      <c r="Z155">
        <f t="shared" si="27"/>
        <v>26</v>
      </c>
      <c r="AA155">
        <f t="shared" si="28"/>
        <v>2</v>
      </c>
      <c r="AB155">
        <f t="shared" si="29"/>
        <v>210</v>
      </c>
      <c r="AC155" t="str">
        <f t="shared" si="30"/>
        <v>N</v>
      </c>
      <c r="AD155" t="str">
        <f t="shared" si="31"/>
        <v>W</v>
      </c>
      <c r="AE155">
        <f t="shared" si="32"/>
        <v>3</v>
      </c>
    </row>
    <row r="156" spans="1:31" x14ac:dyDescent="0.25">
      <c r="A156">
        <v>7</v>
      </c>
      <c r="B156">
        <v>14.3</v>
      </c>
      <c r="C156">
        <v>2.6</v>
      </c>
      <c r="D156">
        <v>9.6</v>
      </c>
      <c r="E156">
        <v>9.6999999999999993</v>
      </c>
      <c r="F156">
        <v>63</v>
      </c>
      <c r="G156" t="s">
        <v>17</v>
      </c>
      <c r="H156" t="s">
        <v>23</v>
      </c>
      <c r="I156">
        <v>26</v>
      </c>
      <c r="J156">
        <v>33</v>
      </c>
      <c r="K156">
        <v>68</v>
      </c>
      <c r="L156">
        <v>40</v>
      </c>
      <c r="M156">
        <v>1010.3</v>
      </c>
      <c r="N156">
        <v>1012.7</v>
      </c>
      <c r="O156">
        <v>1</v>
      </c>
      <c r="P156">
        <v>13.7</v>
      </c>
      <c r="Q156" t="s">
        <v>20</v>
      </c>
      <c r="S156">
        <v>14</v>
      </c>
      <c r="T156">
        <v>31.785216689524077</v>
      </c>
      <c r="U156">
        <v>5.64</v>
      </c>
      <c r="W156">
        <f t="shared" si="24"/>
        <v>33</v>
      </c>
      <c r="X156">
        <f t="shared" si="25"/>
        <v>41.75</v>
      </c>
      <c r="Y156">
        <f t="shared" si="26"/>
        <v>68.7</v>
      </c>
      <c r="Z156">
        <f t="shared" si="27"/>
        <v>40</v>
      </c>
      <c r="AA156">
        <f t="shared" si="28"/>
        <v>16</v>
      </c>
      <c r="AB156">
        <f t="shared" si="29"/>
        <v>194</v>
      </c>
      <c r="AC156" t="str">
        <f t="shared" si="30"/>
        <v>Y</v>
      </c>
      <c r="AD156" t="str">
        <f t="shared" si="31"/>
        <v>W</v>
      </c>
      <c r="AE156">
        <f t="shared" si="32"/>
        <v>2</v>
      </c>
    </row>
    <row r="157" spans="1:31" x14ac:dyDescent="0.25">
      <c r="A157">
        <v>0.4</v>
      </c>
      <c r="B157">
        <v>18.899999999999999</v>
      </c>
      <c r="C157">
        <v>0</v>
      </c>
      <c r="D157">
        <v>4.8</v>
      </c>
      <c r="E157">
        <v>9.6</v>
      </c>
      <c r="F157">
        <v>22</v>
      </c>
      <c r="G157" t="s">
        <v>17</v>
      </c>
      <c r="H157" t="s">
        <v>31</v>
      </c>
      <c r="I157">
        <v>6</v>
      </c>
      <c r="J157">
        <v>7</v>
      </c>
      <c r="K157">
        <v>77</v>
      </c>
      <c r="L157">
        <v>33</v>
      </c>
      <c r="M157">
        <v>1021.2</v>
      </c>
      <c r="N157">
        <v>1019.1</v>
      </c>
      <c r="O157">
        <v>0</v>
      </c>
      <c r="P157">
        <v>17.600000000000001</v>
      </c>
      <c r="Q157" t="s">
        <v>19</v>
      </c>
      <c r="S157">
        <v>19</v>
      </c>
      <c r="T157">
        <v>31.95622005181464</v>
      </c>
      <c r="U157">
        <v>5.65</v>
      </c>
      <c r="W157">
        <f t="shared" si="24"/>
        <v>7</v>
      </c>
      <c r="X157">
        <f t="shared" si="25"/>
        <v>30.75</v>
      </c>
      <c r="Y157">
        <f t="shared" si="26"/>
        <v>22.6</v>
      </c>
      <c r="Z157">
        <f t="shared" si="27"/>
        <v>33</v>
      </c>
      <c r="AA157">
        <f t="shared" si="28"/>
        <v>182</v>
      </c>
      <c r="AB157">
        <f t="shared" si="29"/>
        <v>21</v>
      </c>
      <c r="AC157" t="str">
        <f t="shared" si="30"/>
        <v>N</v>
      </c>
      <c r="AD157" t="str">
        <f t="shared" si="31"/>
        <v>W</v>
      </c>
      <c r="AE157">
        <f t="shared" si="32"/>
        <v>2</v>
      </c>
    </row>
    <row r="158" spans="1:31" x14ac:dyDescent="0.25">
      <c r="A158">
        <v>3.2</v>
      </c>
      <c r="B158">
        <v>21.4</v>
      </c>
      <c r="C158">
        <v>0</v>
      </c>
      <c r="D158">
        <v>3.2</v>
      </c>
      <c r="E158">
        <v>10.6</v>
      </c>
      <c r="F158">
        <v>26</v>
      </c>
      <c r="G158" t="s">
        <v>29</v>
      </c>
      <c r="H158" t="s">
        <v>33</v>
      </c>
      <c r="I158">
        <v>7</v>
      </c>
      <c r="J158">
        <v>7</v>
      </c>
      <c r="K158">
        <v>76</v>
      </c>
      <c r="L158">
        <v>27</v>
      </c>
      <c r="M158">
        <v>1025.2</v>
      </c>
      <c r="N158">
        <v>1022.3</v>
      </c>
      <c r="O158">
        <v>0</v>
      </c>
      <c r="P158">
        <v>20.5</v>
      </c>
      <c r="Q158" t="s">
        <v>19</v>
      </c>
      <c r="S158">
        <v>21</v>
      </c>
      <c r="T158">
        <v>32.018744510052237</v>
      </c>
      <c r="U158">
        <v>5.66</v>
      </c>
      <c r="W158">
        <f t="shared" si="24"/>
        <v>7</v>
      </c>
      <c r="X158">
        <f t="shared" si="25"/>
        <v>29.25</v>
      </c>
      <c r="Y158">
        <f t="shared" si="26"/>
        <v>24.6</v>
      </c>
      <c r="Z158">
        <f t="shared" si="27"/>
        <v>27</v>
      </c>
      <c r="AA158">
        <f t="shared" si="28"/>
        <v>170</v>
      </c>
      <c r="AB158">
        <f t="shared" si="29"/>
        <v>32</v>
      </c>
      <c r="AC158" t="str">
        <f t="shared" si="30"/>
        <v>N</v>
      </c>
      <c r="AD158" t="str">
        <f t="shared" si="31"/>
        <v>W</v>
      </c>
      <c r="AE158">
        <f t="shared" si="32"/>
        <v>2</v>
      </c>
    </row>
    <row r="159" spans="1:31" x14ac:dyDescent="0.25">
      <c r="A159">
        <v>5.9</v>
      </c>
      <c r="B159">
        <v>21.8</v>
      </c>
      <c r="C159">
        <v>0</v>
      </c>
      <c r="D159">
        <v>2.8</v>
      </c>
      <c r="E159">
        <v>9.3000000000000007</v>
      </c>
      <c r="F159">
        <v>35</v>
      </c>
      <c r="G159" t="s">
        <v>34</v>
      </c>
      <c r="H159" t="s">
        <v>33</v>
      </c>
      <c r="I159">
        <v>7</v>
      </c>
      <c r="J159">
        <v>11</v>
      </c>
      <c r="K159">
        <v>70</v>
      </c>
      <c r="L159">
        <v>35</v>
      </c>
      <c r="M159">
        <v>1028</v>
      </c>
      <c r="N159">
        <v>1024.0999999999999</v>
      </c>
      <c r="O159">
        <v>1</v>
      </c>
      <c r="P159">
        <v>20.8</v>
      </c>
      <c r="Q159" t="s">
        <v>19</v>
      </c>
      <c r="S159">
        <v>22</v>
      </c>
      <c r="T159">
        <v>32.062439083762797</v>
      </c>
      <c r="U159">
        <v>5.66</v>
      </c>
      <c r="W159">
        <f t="shared" si="24"/>
        <v>11</v>
      </c>
      <c r="X159">
        <f t="shared" si="25"/>
        <v>30.75</v>
      </c>
      <c r="Y159">
        <f t="shared" si="26"/>
        <v>27.3</v>
      </c>
      <c r="Z159">
        <f t="shared" si="27"/>
        <v>35</v>
      </c>
      <c r="AA159">
        <f t="shared" si="28"/>
        <v>107</v>
      </c>
      <c r="AB159">
        <f t="shared" si="29"/>
        <v>89</v>
      </c>
      <c r="AC159" t="str">
        <f t="shared" si="30"/>
        <v>N</v>
      </c>
      <c r="AD159" t="str">
        <f t="shared" si="31"/>
        <v>W</v>
      </c>
      <c r="AE159">
        <f t="shared" si="32"/>
        <v>3</v>
      </c>
    </row>
    <row r="160" spans="1:31" x14ac:dyDescent="0.25">
      <c r="A160">
        <v>8.1</v>
      </c>
      <c r="B160">
        <v>20.5</v>
      </c>
      <c r="C160">
        <v>0</v>
      </c>
      <c r="D160">
        <v>3.8</v>
      </c>
      <c r="E160">
        <v>7.8</v>
      </c>
      <c r="F160">
        <v>31</v>
      </c>
      <c r="G160" t="s">
        <v>28</v>
      </c>
      <c r="H160" t="s">
        <v>21</v>
      </c>
      <c r="I160">
        <v>11</v>
      </c>
      <c r="J160">
        <v>11</v>
      </c>
      <c r="K160">
        <v>66</v>
      </c>
      <c r="L160">
        <v>48</v>
      </c>
      <c r="M160">
        <v>1027.8</v>
      </c>
      <c r="N160">
        <v>1024</v>
      </c>
      <c r="O160">
        <v>1</v>
      </c>
      <c r="P160">
        <v>19.5</v>
      </c>
      <c r="Q160" t="s">
        <v>19</v>
      </c>
      <c r="S160">
        <v>21</v>
      </c>
      <c r="T160">
        <v>32.05932001774211</v>
      </c>
      <c r="U160">
        <v>5.66</v>
      </c>
      <c r="W160">
        <f t="shared" si="24"/>
        <v>11</v>
      </c>
      <c r="X160">
        <f t="shared" si="25"/>
        <v>34</v>
      </c>
      <c r="Y160">
        <f t="shared" si="26"/>
        <v>29.8</v>
      </c>
      <c r="Z160">
        <f t="shared" si="27"/>
        <v>48</v>
      </c>
      <c r="AA160">
        <f t="shared" si="28"/>
        <v>126</v>
      </c>
      <c r="AB160">
        <f t="shared" si="29"/>
        <v>59</v>
      </c>
      <c r="AC160" t="str">
        <f t="shared" si="30"/>
        <v>N</v>
      </c>
      <c r="AD160" t="str">
        <f t="shared" si="31"/>
        <v>E</v>
      </c>
      <c r="AE160">
        <f t="shared" si="32"/>
        <v>3</v>
      </c>
    </row>
    <row r="161" spans="1:31" x14ac:dyDescent="0.25">
      <c r="A161">
        <v>6.9</v>
      </c>
      <c r="B161">
        <v>18.899999999999999</v>
      </c>
      <c r="C161">
        <v>0</v>
      </c>
      <c r="D161">
        <v>4.2</v>
      </c>
      <c r="E161">
        <v>4.0999999999999996</v>
      </c>
      <c r="F161">
        <v>39</v>
      </c>
      <c r="G161" t="s">
        <v>27</v>
      </c>
      <c r="H161" t="s">
        <v>29</v>
      </c>
      <c r="I161">
        <v>15</v>
      </c>
      <c r="J161">
        <v>9</v>
      </c>
      <c r="K161">
        <v>68</v>
      </c>
      <c r="L161">
        <v>45</v>
      </c>
      <c r="M161">
        <v>1028.2</v>
      </c>
      <c r="N161">
        <v>1025.4000000000001</v>
      </c>
      <c r="O161">
        <v>5</v>
      </c>
      <c r="P161">
        <v>17.8</v>
      </c>
      <c r="Q161" t="s">
        <v>19</v>
      </c>
      <c r="S161">
        <v>19</v>
      </c>
      <c r="T161">
        <v>32.065557846387144</v>
      </c>
      <c r="U161">
        <v>5.66</v>
      </c>
      <c r="W161">
        <f t="shared" si="24"/>
        <v>15</v>
      </c>
      <c r="X161">
        <f t="shared" si="25"/>
        <v>34.25</v>
      </c>
      <c r="Y161">
        <f t="shared" si="26"/>
        <v>28.1</v>
      </c>
      <c r="Z161">
        <f t="shared" si="27"/>
        <v>45</v>
      </c>
      <c r="AA161">
        <f t="shared" si="28"/>
        <v>94</v>
      </c>
      <c r="AB161">
        <f t="shared" si="29"/>
        <v>100</v>
      </c>
      <c r="AC161" t="str">
        <f t="shared" si="30"/>
        <v>N</v>
      </c>
      <c r="AD161" t="str">
        <f t="shared" si="31"/>
        <v>E</v>
      </c>
      <c r="AE161">
        <f t="shared" si="32"/>
        <v>3</v>
      </c>
    </row>
    <row r="162" spans="1:31" x14ac:dyDescent="0.25">
      <c r="A162">
        <v>5.6</v>
      </c>
      <c r="B162">
        <v>19.5</v>
      </c>
      <c r="C162">
        <v>0</v>
      </c>
      <c r="D162">
        <v>2.8</v>
      </c>
      <c r="E162">
        <v>6.8</v>
      </c>
      <c r="F162">
        <v>17</v>
      </c>
      <c r="G162" t="s">
        <v>30</v>
      </c>
      <c r="H162" t="s">
        <v>26</v>
      </c>
      <c r="I162">
        <v>9</v>
      </c>
      <c r="J162">
        <v>6</v>
      </c>
      <c r="K162">
        <v>69</v>
      </c>
      <c r="L162">
        <v>49</v>
      </c>
      <c r="M162">
        <v>1025.7</v>
      </c>
      <c r="N162">
        <v>1021.8</v>
      </c>
      <c r="O162">
        <v>6</v>
      </c>
      <c r="P162">
        <v>18.600000000000001</v>
      </c>
      <c r="Q162" t="s">
        <v>19</v>
      </c>
      <c r="S162">
        <v>20</v>
      </c>
      <c r="T162">
        <v>32.026551484666598</v>
      </c>
      <c r="U162">
        <v>5.66</v>
      </c>
      <c r="W162">
        <f t="shared" si="24"/>
        <v>9</v>
      </c>
      <c r="X162">
        <f t="shared" si="25"/>
        <v>33.25</v>
      </c>
      <c r="Y162">
        <f t="shared" si="26"/>
        <v>21.8</v>
      </c>
      <c r="Z162">
        <f t="shared" si="27"/>
        <v>49</v>
      </c>
      <c r="AA162">
        <f t="shared" si="28"/>
        <v>194</v>
      </c>
      <c r="AB162">
        <f t="shared" si="29"/>
        <v>5</v>
      </c>
      <c r="AC162" t="str">
        <f t="shared" si="30"/>
        <v>N</v>
      </c>
      <c r="AD162" t="str">
        <f t="shared" si="31"/>
        <v>W</v>
      </c>
      <c r="AE162">
        <f t="shared" si="32"/>
        <v>1</v>
      </c>
    </row>
    <row r="163" spans="1:31" x14ac:dyDescent="0.25">
      <c r="A163">
        <v>7.2</v>
      </c>
      <c r="B163">
        <v>22.9</v>
      </c>
      <c r="C163">
        <v>0</v>
      </c>
      <c r="D163">
        <v>2.2000000000000002</v>
      </c>
      <c r="E163">
        <v>9.5</v>
      </c>
      <c r="F163">
        <v>26</v>
      </c>
      <c r="G163" t="s">
        <v>33</v>
      </c>
      <c r="H163" t="s">
        <v>24</v>
      </c>
      <c r="I163">
        <v>4</v>
      </c>
      <c r="J163">
        <v>6</v>
      </c>
      <c r="K163">
        <v>82</v>
      </c>
      <c r="L163">
        <v>28</v>
      </c>
      <c r="M163">
        <v>1023.1</v>
      </c>
      <c r="N163">
        <v>1019.2</v>
      </c>
      <c r="O163">
        <v>1</v>
      </c>
      <c r="P163">
        <v>22.2</v>
      </c>
      <c r="Q163" t="s">
        <v>19</v>
      </c>
      <c r="S163">
        <v>23</v>
      </c>
      <c r="T163">
        <v>31.9859344087366</v>
      </c>
      <c r="U163">
        <v>5.66</v>
      </c>
      <c r="W163">
        <f t="shared" si="24"/>
        <v>6</v>
      </c>
      <c r="X163">
        <f t="shared" si="25"/>
        <v>30</v>
      </c>
      <c r="Y163">
        <f t="shared" si="26"/>
        <v>19.5</v>
      </c>
      <c r="Z163">
        <f t="shared" si="27"/>
        <v>28</v>
      </c>
      <c r="AA163">
        <f t="shared" si="28"/>
        <v>167</v>
      </c>
      <c r="AB163">
        <f t="shared" si="29"/>
        <v>31</v>
      </c>
      <c r="AC163" t="str">
        <f t="shared" si="30"/>
        <v>N</v>
      </c>
      <c r="AD163" t="str">
        <f t="shared" si="31"/>
        <v>N</v>
      </c>
      <c r="AE163">
        <f t="shared" si="32"/>
        <v>3</v>
      </c>
    </row>
    <row r="164" spans="1:31" x14ac:dyDescent="0.25">
      <c r="A164">
        <v>7.1</v>
      </c>
      <c r="B164">
        <v>23.4</v>
      </c>
      <c r="C164">
        <v>0</v>
      </c>
      <c r="D164">
        <v>3.4</v>
      </c>
      <c r="E164">
        <v>10.199999999999999</v>
      </c>
      <c r="F164">
        <v>39</v>
      </c>
      <c r="G164" t="s">
        <v>29</v>
      </c>
      <c r="H164" t="s">
        <v>31</v>
      </c>
      <c r="I164">
        <v>2</v>
      </c>
      <c r="J164">
        <v>7</v>
      </c>
      <c r="K164">
        <v>72</v>
      </c>
      <c r="L164">
        <v>29</v>
      </c>
      <c r="M164">
        <v>1021</v>
      </c>
      <c r="N164">
        <v>1016.9</v>
      </c>
      <c r="O164">
        <v>0</v>
      </c>
      <c r="P164">
        <v>22.4</v>
      </c>
      <c r="Q164" t="s">
        <v>19</v>
      </c>
      <c r="S164">
        <v>23</v>
      </c>
      <c r="T164">
        <v>31.953090617340916</v>
      </c>
      <c r="U164">
        <v>5.65</v>
      </c>
      <c r="W164">
        <f t="shared" si="24"/>
        <v>7</v>
      </c>
      <c r="X164">
        <f t="shared" si="25"/>
        <v>27.5</v>
      </c>
      <c r="Y164">
        <f t="shared" si="26"/>
        <v>19.2</v>
      </c>
      <c r="Z164">
        <f t="shared" si="27"/>
        <v>29</v>
      </c>
      <c r="AA164">
        <f t="shared" si="28"/>
        <v>94</v>
      </c>
      <c r="AB164">
        <f t="shared" si="29"/>
        <v>98</v>
      </c>
      <c r="AC164" t="str">
        <f t="shared" si="30"/>
        <v>N</v>
      </c>
      <c r="AD164" t="str">
        <f t="shared" si="31"/>
        <v>W</v>
      </c>
      <c r="AE164">
        <f t="shared" si="32"/>
        <v>2</v>
      </c>
    </row>
    <row r="165" spans="1:31" x14ac:dyDescent="0.25">
      <c r="A165">
        <v>6.1</v>
      </c>
      <c r="B165">
        <v>24.1</v>
      </c>
      <c r="C165">
        <v>0</v>
      </c>
      <c r="D165">
        <v>4.5999999999999996</v>
      </c>
      <c r="E165">
        <v>6.1</v>
      </c>
      <c r="F165">
        <v>35</v>
      </c>
      <c r="G165" t="s">
        <v>34</v>
      </c>
      <c r="H165" t="s">
        <v>26</v>
      </c>
      <c r="I165">
        <v>6</v>
      </c>
      <c r="J165">
        <v>11</v>
      </c>
      <c r="K165">
        <v>75</v>
      </c>
      <c r="L165">
        <v>32</v>
      </c>
      <c r="M165">
        <v>1019.2</v>
      </c>
      <c r="N165">
        <v>1015.8</v>
      </c>
      <c r="O165">
        <v>7</v>
      </c>
      <c r="P165">
        <v>23.7</v>
      </c>
      <c r="Q165" t="s">
        <v>19</v>
      </c>
      <c r="S165">
        <v>24</v>
      </c>
      <c r="T165">
        <v>31.924911902775865</v>
      </c>
      <c r="U165">
        <v>5.65</v>
      </c>
      <c r="W165">
        <f t="shared" si="24"/>
        <v>11</v>
      </c>
      <c r="X165">
        <f t="shared" si="25"/>
        <v>31</v>
      </c>
      <c r="Y165">
        <f t="shared" si="26"/>
        <v>23.1</v>
      </c>
      <c r="Z165">
        <f t="shared" si="27"/>
        <v>32</v>
      </c>
      <c r="AA165">
        <f t="shared" si="28"/>
        <v>105</v>
      </c>
      <c r="AB165">
        <f t="shared" si="29"/>
        <v>86</v>
      </c>
      <c r="AC165" t="str">
        <f t="shared" si="30"/>
        <v>N</v>
      </c>
      <c r="AD165" t="str">
        <f t="shared" si="31"/>
        <v>W</v>
      </c>
      <c r="AE165">
        <f t="shared" si="32"/>
        <v>3</v>
      </c>
    </row>
    <row r="166" spans="1:31" x14ac:dyDescent="0.25">
      <c r="A166">
        <v>7.1</v>
      </c>
      <c r="B166">
        <v>19.8</v>
      </c>
      <c r="C166">
        <v>2</v>
      </c>
      <c r="D166">
        <v>3.2</v>
      </c>
      <c r="E166">
        <v>7.7</v>
      </c>
      <c r="F166">
        <v>39</v>
      </c>
      <c r="G166" t="s">
        <v>27</v>
      </c>
      <c r="H166" t="s">
        <v>17</v>
      </c>
      <c r="I166">
        <v>13</v>
      </c>
      <c r="J166">
        <v>15</v>
      </c>
      <c r="K166">
        <v>96</v>
      </c>
      <c r="L166">
        <v>56</v>
      </c>
      <c r="M166">
        <v>1018.4</v>
      </c>
      <c r="N166">
        <v>1013.8</v>
      </c>
      <c r="O166">
        <v>5</v>
      </c>
      <c r="P166">
        <v>19.100000000000001</v>
      </c>
      <c r="Q166" t="s">
        <v>20</v>
      </c>
      <c r="S166">
        <v>20</v>
      </c>
      <c r="T166">
        <v>31.912380042861109</v>
      </c>
      <c r="U166">
        <v>5.65</v>
      </c>
      <c r="W166">
        <f t="shared" si="24"/>
        <v>15</v>
      </c>
      <c r="X166">
        <f t="shared" si="25"/>
        <v>45</v>
      </c>
      <c r="Y166">
        <f t="shared" si="26"/>
        <v>35.700000000000003</v>
      </c>
      <c r="Z166">
        <f t="shared" si="27"/>
        <v>56</v>
      </c>
      <c r="AA166">
        <f t="shared" si="28"/>
        <v>94</v>
      </c>
      <c r="AB166">
        <f t="shared" si="29"/>
        <v>97</v>
      </c>
      <c r="AC166" t="str">
        <f t="shared" si="30"/>
        <v>Y</v>
      </c>
      <c r="AD166" t="str">
        <f t="shared" si="31"/>
        <v>W</v>
      </c>
      <c r="AE166">
        <f t="shared" si="32"/>
        <v>3</v>
      </c>
    </row>
    <row r="167" spans="1:31" x14ac:dyDescent="0.25">
      <c r="A167">
        <v>5.6</v>
      </c>
      <c r="B167">
        <v>18</v>
      </c>
      <c r="C167">
        <v>5.2</v>
      </c>
      <c r="D167">
        <v>3.8</v>
      </c>
      <c r="E167">
        <v>9.3000000000000007</v>
      </c>
      <c r="F167">
        <v>31</v>
      </c>
      <c r="G167" t="s">
        <v>27</v>
      </c>
      <c r="H167" t="s">
        <v>27</v>
      </c>
      <c r="I167">
        <v>9</v>
      </c>
      <c r="J167">
        <v>20</v>
      </c>
      <c r="K167">
        <v>70</v>
      </c>
      <c r="L167">
        <v>40</v>
      </c>
      <c r="M167">
        <v>1020.8</v>
      </c>
      <c r="N167">
        <v>1019.6</v>
      </c>
      <c r="O167">
        <v>1</v>
      </c>
      <c r="P167">
        <v>17.899999999999999</v>
      </c>
      <c r="Q167" t="s">
        <v>20</v>
      </c>
      <c r="S167">
        <v>18</v>
      </c>
      <c r="T167">
        <v>31.949960876345372</v>
      </c>
      <c r="U167">
        <v>5.65</v>
      </c>
      <c r="W167">
        <f t="shared" si="24"/>
        <v>20</v>
      </c>
      <c r="X167">
        <f t="shared" si="25"/>
        <v>34.75</v>
      </c>
      <c r="Y167">
        <f t="shared" si="26"/>
        <v>38.299999999999997</v>
      </c>
      <c r="Z167">
        <f t="shared" si="27"/>
        <v>40</v>
      </c>
      <c r="AA167">
        <f t="shared" si="28"/>
        <v>122</v>
      </c>
      <c r="AB167">
        <f t="shared" si="29"/>
        <v>57</v>
      </c>
      <c r="AC167" t="str">
        <f t="shared" si="30"/>
        <v>Y</v>
      </c>
      <c r="AD167" t="str">
        <f t="shared" si="31"/>
        <v>E</v>
      </c>
      <c r="AE167">
        <f t="shared" si="32"/>
        <v>3</v>
      </c>
    </row>
    <row r="168" spans="1:31" x14ac:dyDescent="0.25">
      <c r="A168">
        <v>5.4</v>
      </c>
      <c r="B168">
        <v>20.7</v>
      </c>
      <c r="C168">
        <v>0</v>
      </c>
      <c r="D168">
        <v>3.2</v>
      </c>
      <c r="E168">
        <v>10.8</v>
      </c>
      <c r="F168">
        <v>28</v>
      </c>
      <c r="G168" t="s">
        <v>27</v>
      </c>
      <c r="H168" t="s">
        <v>30</v>
      </c>
      <c r="I168">
        <v>7</v>
      </c>
      <c r="J168">
        <v>9</v>
      </c>
      <c r="K168">
        <v>66</v>
      </c>
      <c r="L168">
        <v>36</v>
      </c>
      <c r="M168">
        <v>1027.2</v>
      </c>
      <c r="N168">
        <v>1023.9</v>
      </c>
      <c r="O168">
        <v>1</v>
      </c>
      <c r="P168">
        <v>20.399999999999999</v>
      </c>
      <c r="Q168" t="s">
        <v>19</v>
      </c>
      <c r="S168">
        <v>21</v>
      </c>
      <c r="T168">
        <v>32.049960998416211</v>
      </c>
      <c r="U168">
        <v>5.66</v>
      </c>
      <c r="W168">
        <f t="shared" si="24"/>
        <v>9</v>
      </c>
      <c r="X168">
        <f t="shared" si="25"/>
        <v>29.5</v>
      </c>
      <c r="Y168">
        <f t="shared" si="26"/>
        <v>26.8</v>
      </c>
      <c r="Z168">
        <f t="shared" si="27"/>
        <v>36</v>
      </c>
      <c r="AA168">
        <f t="shared" si="28"/>
        <v>154</v>
      </c>
      <c r="AB168">
        <f t="shared" si="29"/>
        <v>37</v>
      </c>
      <c r="AC168" t="str">
        <f t="shared" si="30"/>
        <v>N</v>
      </c>
      <c r="AD168" t="str">
        <f t="shared" si="31"/>
        <v>S</v>
      </c>
      <c r="AE168">
        <f t="shared" si="32"/>
        <v>3</v>
      </c>
    </row>
    <row r="169" spans="1:31" x14ac:dyDescent="0.25">
      <c r="A169">
        <v>6.3</v>
      </c>
      <c r="B169">
        <v>19.3</v>
      </c>
      <c r="C169">
        <v>0</v>
      </c>
      <c r="D169">
        <v>3.4</v>
      </c>
      <c r="E169">
        <v>10.6</v>
      </c>
      <c r="F169">
        <v>31</v>
      </c>
      <c r="G169" t="s">
        <v>30</v>
      </c>
      <c r="H169" t="s">
        <v>29</v>
      </c>
      <c r="I169">
        <v>9</v>
      </c>
      <c r="J169">
        <v>13</v>
      </c>
      <c r="K169">
        <v>65</v>
      </c>
      <c r="L169">
        <v>39</v>
      </c>
      <c r="M169">
        <v>1027.9000000000001</v>
      </c>
      <c r="N169">
        <v>1024.4000000000001</v>
      </c>
      <c r="O169">
        <v>1</v>
      </c>
      <c r="P169">
        <v>18.8</v>
      </c>
      <c r="Q169" t="s">
        <v>19</v>
      </c>
      <c r="S169">
        <v>19</v>
      </c>
      <c r="T169">
        <v>32.060879588682532</v>
      </c>
      <c r="U169">
        <v>5.66</v>
      </c>
      <c r="W169">
        <f t="shared" si="24"/>
        <v>13</v>
      </c>
      <c r="X169">
        <f t="shared" si="25"/>
        <v>31.5</v>
      </c>
      <c r="Y169">
        <f t="shared" si="26"/>
        <v>32.6</v>
      </c>
      <c r="Z169">
        <f t="shared" si="27"/>
        <v>39</v>
      </c>
      <c r="AA169">
        <f t="shared" si="28"/>
        <v>122</v>
      </c>
      <c r="AB169">
        <f t="shared" si="29"/>
        <v>56</v>
      </c>
      <c r="AC169" t="str">
        <f t="shared" si="30"/>
        <v>N</v>
      </c>
      <c r="AD169" t="str">
        <f t="shared" si="31"/>
        <v>E</v>
      </c>
      <c r="AE169">
        <f t="shared" si="32"/>
        <v>1</v>
      </c>
    </row>
    <row r="170" spans="1:31" x14ac:dyDescent="0.25">
      <c r="A170">
        <v>5.3</v>
      </c>
      <c r="B170">
        <v>21</v>
      </c>
      <c r="C170">
        <v>0</v>
      </c>
      <c r="D170">
        <v>4.5999999999999996</v>
      </c>
      <c r="E170">
        <v>6.3</v>
      </c>
      <c r="F170">
        <v>26</v>
      </c>
      <c r="G170" t="s">
        <v>34</v>
      </c>
      <c r="H170" t="s">
        <v>17</v>
      </c>
      <c r="I170">
        <v>7</v>
      </c>
      <c r="J170">
        <v>7</v>
      </c>
      <c r="K170">
        <v>77</v>
      </c>
      <c r="L170">
        <v>44</v>
      </c>
      <c r="M170">
        <v>1027.2</v>
      </c>
      <c r="N170">
        <v>1023.3</v>
      </c>
      <c r="O170">
        <v>7</v>
      </c>
      <c r="P170">
        <v>20.399999999999999</v>
      </c>
      <c r="Q170" t="s">
        <v>19</v>
      </c>
      <c r="S170">
        <v>21</v>
      </c>
      <c r="T170">
        <v>32.049960998416211</v>
      </c>
      <c r="U170">
        <v>5.66</v>
      </c>
      <c r="W170">
        <f t="shared" si="24"/>
        <v>7</v>
      </c>
      <c r="X170">
        <f t="shared" si="25"/>
        <v>33.75</v>
      </c>
      <c r="Y170">
        <f t="shared" si="26"/>
        <v>20.3</v>
      </c>
      <c r="Z170">
        <f t="shared" si="27"/>
        <v>44</v>
      </c>
      <c r="AA170">
        <f t="shared" si="28"/>
        <v>161</v>
      </c>
      <c r="AB170">
        <f t="shared" si="29"/>
        <v>31</v>
      </c>
      <c r="AC170" t="str">
        <f t="shared" si="30"/>
        <v>N</v>
      </c>
      <c r="AD170" t="str">
        <f t="shared" si="31"/>
        <v>W</v>
      </c>
      <c r="AE170">
        <f t="shared" si="32"/>
        <v>3</v>
      </c>
    </row>
    <row r="171" spans="1:31" x14ac:dyDescent="0.25">
      <c r="A171">
        <v>7.9</v>
      </c>
      <c r="B171">
        <v>19.7</v>
      </c>
      <c r="C171">
        <v>0</v>
      </c>
      <c r="D171">
        <v>3.2</v>
      </c>
      <c r="E171">
        <v>8.3000000000000007</v>
      </c>
      <c r="F171">
        <v>48</v>
      </c>
      <c r="G171" t="s">
        <v>27</v>
      </c>
      <c r="H171" t="s">
        <v>21</v>
      </c>
      <c r="I171">
        <v>17</v>
      </c>
      <c r="J171">
        <v>11</v>
      </c>
      <c r="K171">
        <v>58</v>
      </c>
      <c r="L171">
        <v>43</v>
      </c>
      <c r="M171">
        <v>1027.3</v>
      </c>
      <c r="N171">
        <v>1024.0999999999999</v>
      </c>
      <c r="O171">
        <v>3</v>
      </c>
      <c r="P171">
        <v>19.100000000000001</v>
      </c>
      <c r="Q171" t="s">
        <v>19</v>
      </c>
      <c r="S171">
        <v>20</v>
      </c>
      <c r="T171">
        <v>32.051521024750137</v>
      </c>
      <c r="U171">
        <v>5.66</v>
      </c>
      <c r="W171">
        <f t="shared" si="24"/>
        <v>17</v>
      </c>
      <c r="X171">
        <f t="shared" si="25"/>
        <v>32.25</v>
      </c>
      <c r="Y171">
        <f t="shared" si="26"/>
        <v>36.299999999999997</v>
      </c>
      <c r="Z171">
        <f t="shared" si="27"/>
        <v>43</v>
      </c>
      <c r="AA171">
        <f t="shared" si="28"/>
        <v>42</v>
      </c>
      <c r="AB171">
        <f t="shared" si="29"/>
        <v>146</v>
      </c>
      <c r="AC171" t="str">
        <f t="shared" si="30"/>
        <v>N</v>
      </c>
      <c r="AD171" t="str">
        <f t="shared" si="31"/>
        <v>E</v>
      </c>
      <c r="AE171">
        <f t="shared" si="32"/>
        <v>3</v>
      </c>
    </row>
    <row r="172" spans="1:31" x14ac:dyDescent="0.25">
      <c r="A172">
        <v>8.4</v>
      </c>
      <c r="B172">
        <v>16.100000000000001</v>
      </c>
      <c r="C172">
        <v>0</v>
      </c>
      <c r="D172">
        <v>3</v>
      </c>
      <c r="E172">
        <v>4.9000000000000004</v>
      </c>
      <c r="F172">
        <v>35</v>
      </c>
      <c r="G172" t="s">
        <v>29</v>
      </c>
      <c r="H172" t="s">
        <v>28</v>
      </c>
      <c r="I172">
        <v>13</v>
      </c>
      <c r="J172">
        <v>22</v>
      </c>
      <c r="K172">
        <v>69</v>
      </c>
      <c r="L172">
        <v>51</v>
      </c>
      <c r="M172">
        <v>1029.5</v>
      </c>
      <c r="N172">
        <v>1027.4000000000001</v>
      </c>
      <c r="O172">
        <v>6</v>
      </c>
      <c r="P172">
        <v>15.2</v>
      </c>
      <c r="Q172" t="s">
        <v>19</v>
      </c>
      <c r="S172">
        <v>16</v>
      </c>
      <c r="T172">
        <v>32.08582241426889</v>
      </c>
      <c r="U172">
        <v>5.66</v>
      </c>
      <c r="W172">
        <f t="shared" si="24"/>
        <v>22</v>
      </c>
      <c r="X172">
        <f t="shared" si="25"/>
        <v>38.75</v>
      </c>
      <c r="Y172">
        <f t="shared" si="26"/>
        <v>39.9</v>
      </c>
      <c r="Z172">
        <f t="shared" si="27"/>
        <v>51</v>
      </c>
      <c r="AA172">
        <f t="shared" si="28"/>
        <v>103</v>
      </c>
      <c r="AB172">
        <f t="shared" si="29"/>
        <v>82</v>
      </c>
      <c r="AC172" t="str">
        <f t="shared" si="30"/>
        <v>N</v>
      </c>
      <c r="AD172" t="str">
        <f t="shared" si="31"/>
        <v>E</v>
      </c>
      <c r="AE172">
        <f t="shared" si="32"/>
        <v>2</v>
      </c>
    </row>
    <row r="173" spans="1:31" x14ac:dyDescent="0.25">
      <c r="A173">
        <v>8.1</v>
      </c>
      <c r="B173">
        <v>18.7</v>
      </c>
      <c r="C173">
        <v>0</v>
      </c>
      <c r="D173">
        <v>4.4000000000000004</v>
      </c>
      <c r="E173">
        <v>7.1</v>
      </c>
      <c r="F173">
        <v>33</v>
      </c>
      <c r="G173" t="s">
        <v>27</v>
      </c>
      <c r="H173" t="s">
        <v>28</v>
      </c>
      <c r="I173">
        <v>11</v>
      </c>
      <c r="J173">
        <v>30</v>
      </c>
      <c r="K173">
        <v>66</v>
      </c>
      <c r="L173">
        <v>65</v>
      </c>
      <c r="M173">
        <v>1028.2</v>
      </c>
      <c r="N173">
        <v>1024.2</v>
      </c>
      <c r="O173">
        <v>4</v>
      </c>
      <c r="P173">
        <v>15.6</v>
      </c>
      <c r="Q173" t="s">
        <v>19</v>
      </c>
      <c r="S173">
        <v>19</v>
      </c>
      <c r="T173">
        <v>32.065557846387144</v>
      </c>
      <c r="U173">
        <v>5.66</v>
      </c>
      <c r="W173">
        <f t="shared" si="24"/>
        <v>30</v>
      </c>
      <c r="X173">
        <f t="shared" si="25"/>
        <v>43</v>
      </c>
      <c r="Y173">
        <f t="shared" si="26"/>
        <v>48.1</v>
      </c>
      <c r="Z173">
        <f t="shared" si="27"/>
        <v>65</v>
      </c>
      <c r="AA173">
        <f t="shared" si="28"/>
        <v>113</v>
      </c>
      <c r="AB173">
        <f t="shared" si="29"/>
        <v>75</v>
      </c>
      <c r="AC173" t="str">
        <f t="shared" si="30"/>
        <v>N</v>
      </c>
      <c r="AD173" t="str">
        <f t="shared" si="31"/>
        <v>E</v>
      </c>
      <c r="AE173">
        <f t="shared" si="32"/>
        <v>3</v>
      </c>
    </row>
    <row r="174" spans="1:31" x14ac:dyDescent="0.25">
      <c r="A174">
        <v>2.4</v>
      </c>
      <c r="B174">
        <v>20.6</v>
      </c>
      <c r="C174">
        <v>0</v>
      </c>
      <c r="D174">
        <v>2.8</v>
      </c>
      <c r="E174">
        <v>10.1</v>
      </c>
      <c r="F174">
        <v>30</v>
      </c>
      <c r="G174" t="s">
        <v>29</v>
      </c>
      <c r="H174" t="s">
        <v>27</v>
      </c>
      <c r="I174">
        <v>9</v>
      </c>
      <c r="J174">
        <v>7</v>
      </c>
      <c r="K174">
        <v>77</v>
      </c>
      <c r="L174">
        <v>34</v>
      </c>
      <c r="M174">
        <v>1024.8</v>
      </c>
      <c r="N174">
        <v>1021</v>
      </c>
      <c r="O174">
        <v>1</v>
      </c>
      <c r="P174">
        <v>19.8</v>
      </c>
      <c r="Q174" t="s">
        <v>19</v>
      </c>
      <c r="S174">
        <v>21</v>
      </c>
      <c r="T174">
        <v>32.012497559546958</v>
      </c>
      <c r="U174">
        <v>5.66</v>
      </c>
      <c r="W174">
        <f t="shared" si="24"/>
        <v>9</v>
      </c>
      <c r="X174">
        <f t="shared" si="25"/>
        <v>31.75</v>
      </c>
      <c r="Y174">
        <f t="shared" si="26"/>
        <v>26.1</v>
      </c>
      <c r="Z174">
        <f t="shared" si="27"/>
        <v>34</v>
      </c>
      <c r="AA174">
        <f t="shared" si="28"/>
        <v>139</v>
      </c>
      <c r="AB174">
        <f t="shared" si="29"/>
        <v>44</v>
      </c>
      <c r="AC174" t="str">
        <f t="shared" si="30"/>
        <v>N</v>
      </c>
      <c r="AD174" t="str">
        <f t="shared" si="31"/>
        <v>E</v>
      </c>
      <c r="AE174">
        <f t="shared" si="32"/>
        <v>2</v>
      </c>
    </row>
    <row r="175" spans="1:31" x14ac:dyDescent="0.25">
      <c r="A175">
        <v>5.6</v>
      </c>
      <c r="B175">
        <v>18.899999999999999</v>
      </c>
      <c r="C175">
        <v>0</v>
      </c>
      <c r="D175">
        <v>3.8</v>
      </c>
      <c r="E175">
        <v>8</v>
      </c>
      <c r="F175">
        <v>33</v>
      </c>
      <c r="G175" t="s">
        <v>27</v>
      </c>
      <c r="H175" t="s">
        <v>22</v>
      </c>
      <c r="I175">
        <v>13</v>
      </c>
      <c r="J175">
        <v>22</v>
      </c>
      <c r="K175">
        <v>79</v>
      </c>
      <c r="L175">
        <v>49</v>
      </c>
      <c r="M175">
        <v>1025.8</v>
      </c>
      <c r="N175">
        <v>1023.5</v>
      </c>
      <c r="O175">
        <v>7</v>
      </c>
      <c r="P175">
        <v>17.7</v>
      </c>
      <c r="Q175" t="s">
        <v>19</v>
      </c>
      <c r="S175">
        <v>19</v>
      </c>
      <c r="T175">
        <v>32.028112651231886</v>
      </c>
      <c r="U175">
        <v>5.66</v>
      </c>
      <c r="W175">
        <f t="shared" si="24"/>
        <v>22</v>
      </c>
      <c r="X175">
        <f t="shared" si="25"/>
        <v>40.75</v>
      </c>
      <c r="Y175">
        <f t="shared" si="26"/>
        <v>43</v>
      </c>
      <c r="Z175">
        <f t="shared" si="27"/>
        <v>49</v>
      </c>
      <c r="AA175">
        <f t="shared" si="28"/>
        <v>113</v>
      </c>
      <c r="AB175">
        <f t="shared" si="29"/>
        <v>74</v>
      </c>
      <c r="AC175" t="str">
        <f t="shared" si="30"/>
        <v>N</v>
      </c>
      <c r="AD175" t="str">
        <f t="shared" si="31"/>
        <v>E</v>
      </c>
      <c r="AE175">
        <f t="shared" si="32"/>
        <v>3</v>
      </c>
    </row>
    <row r="176" spans="1:31" x14ac:dyDescent="0.25">
      <c r="A176">
        <v>7.5</v>
      </c>
      <c r="B176">
        <v>19</v>
      </c>
      <c r="C176">
        <v>0</v>
      </c>
      <c r="D176">
        <v>4</v>
      </c>
      <c r="E176">
        <v>6.8</v>
      </c>
      <c r="F176">
        <v>26</v>
      </c>
      <c r="G176" t="s">
        <v>35</v>
      </c>
      <c r="H176" t="s">
        <v>28</v>
      </c>
      <c r="I176">
        <v>0</v>
      </c>
      <c r="J176">
        <v>7</v>
      </c>
      <c r="K176">
        <v>74</v>
      </c>
      <c r="L176">
        <v>43</v>
      </c>
      <c r="M176">
        <v>1025.5</v>
      </c>
      <c r="N176">
        <v>1022.2</v>
      </c>
      <c r="O176">
        <v>6</v>
      </c>
      <c r="P176">
        <v>18.100000000000001</v>
      </c>
      <c r="Q176" t="s">
        <v>19</v>
      </c>
      <c r="S176">
        <v>19</v>
      </c>
      <c r="T176">
        <v>32.023428923211831</v>
      </c>
      <c r="U176">
        <v>5.66</v>
      </c>
      <c r="W176">
        <f t="shared" si="24"/>
        <v>7</v>
      </c>
      <c r="X176">
        <f t="shared" si="25"/>
        <v>31</v>
      </c>
      <c r="Y176">
        <f t="shared" si="26"/>
        <v>13.8</v>
      </c>
      <c r="Z176">
        <f t="shared" si="27"/>
        <v>43</v>
      </c>
      <c r="AA176">
        <f t="shared" si="28"/>
        <v>156</v>
      </c>
      <c r="AB176">
        <f t="shared" si="29"/>
        <v>31</v>
      </c>
      <c r="AC176" t="str">
        <f t="shared" si="30"/>
        <v>N</v>
      </c>
      <c r="AD176" t="str">
        <f t="shared" si="31"/>
        <v>E</v>
      </c>
      <c r="AE176">
        <f t="shared" si="32"/>
        <v>2</v>
      </c>
    </row>
    <row r="177" spans="1:31" x14ac:dyDescent="0.25">
      <c r="A177">
        <v>2.5</v>
      </c>
      <c r="B177">
        <v>21.2</v>
      </c>
      <c r="C177">
        <v>0</v>
      </c>
      <c r="D177">
        <v>2</v>
      </c>
      <c r="E177">
        <v>7.9</v>
      </c>
      <c r="F177">
        <v>28</v>
      </c>
      <c r="G177" t="s">
        <v>28</v>
      </c>
      <c r="H177" t="s">
        <v>32</v>
      </c>
      <c r="I177">
        <v>7</v>
      </c>
      <c r="J177">
        <v>9</v>
      </c>
      <c r="K177">
        <v>82</v>
      </c>
      <c r="L177">
        <v>55</v>
      </c>
      <c r="M177">
        <v>1023.7</v>
      </c>
      <c r="N177">
        <v>1019.8</v>
      </c>
      <c r="O177">
        <v>4</v>
      </c>
      <c r="P177">
        <v>17.600000000000001</v>
      </c>
      <c r="Q177" t="s">
        <v>19</v>
      </c>
      <c r="S177">
        <v>21</v>
      </c>
      <c r="T177">
        <v>31.995312156626944</v>
      </c>
      <c r="U177">
        <v>5.66</v>
      </c>
      <c r="W177">
        <f t="shared" si="24"/>
        <v>9</v>
      </c>
      <c r="X177">
        <f t="shared" si="25"/>
        <v>38.25</v>
      </c>
      <c r="Y177">
        <f t="shared" si="26"/>
        <v>23.9</v>
      </c>
      <c r="Z177">
        <f t="shared" si="27"/>
        <v>55</v>
      </c>
      <c r="AA177">
        <f t="shared" si="28"/>
        <v>148</v>
      </c>
      <c r="AB177">
        <f t="shared" si="29"/>
        <v>35</v>
      </c>
      <c r="AC177" t="str">
        <f t="shared" si="30"/>
        <v>N</v>
      </c>
      <c r="AD177" t="str">
        <f t="shared" si="31"/>
        <v>E</v>
      </c>
      <c r="AE177">
        <f t="shared" si="32"/>
        <v>3</v>
      </c>
    </row>
    <row r="178" spans="1:31" x14ac:dyDescent="0.25">
      <c r="A178">
        <v>5</v>
      </c>
      <c r="B178">
        <v>20.9</v>
      </c>
      <c r="C178">
        <v>0</v>
      </c>
      <c r="D178">
        <v>2</v>
      </c>
      <c r="E178">
        <v>8.9</v>
      </c>
      <c r="F178">
        <v>22</v>
      </c>
      <c r="G178" t="s">
        <v>35</v>
      </c>
      <c r="H178" t="s">
        <v>17</v>
      </c>
      <c r="I178">
        <v>0</v>
      </c>
      <c r="J178">
        <v>7</v>
      </c>
      <c r="K178">
        <v>84</v>
      </c>
      <c r="L178">
        <v>42</v>
      </c>
      <c r="M178">
        <v>1019.9</v>
      </c>
      <c r="N178">
        <v>1014.3</v>
      </c>
      <c r="O178">
        <v>7</v>
      </c>
      <c r="P178">
        <v>20.6</v>
      </c>
      <c r="Q178" t="s">
        <v>19</v>
      </c>
      <c r="S178">
        <v>21</v>
      </c>
      <c r="T178">
        <v>31.935873246241442</v>
      </c>
      <c r="U178">
        <v>5.65</v>
      </c>
      <c r="W178">
        <f t="shared" si="24"/>
        <v>7</v>
      </c>
      <c r="X178">
        <f t="shared" si="25"/>
        <v>33.25</v>
      </c>
      <c r="Y178">
        <f t="shared" si="26"/>
        <v>15.9</v>
      </c>
      <c r="Z178">
        <f t="shared" si="27"/>
        <v>42</v>
      </c>
      <c r="AA178">
        <f t="shared" si="28"/>
        <v>163</v>
      </c>
      <c r="AB178">
        <f t="shared" si="29"/>
        <v>20</v>
      </c>
      <c r="AC178" t="str">
        <f t="shared" si="30"/>
        <v>N</v>
      </c>
      <c r="AD178" t="str">
        <f t="shared" si="31"/>
        <v>W</v>
      </c>
      <c r="AE178">
        <f t="shared" si="32"/>
        <v>2</v>
      </c>
    </row>
    <row r="179" spans="1:31" x14ac:dyDescent="0.25">
      <c r="A179">
        <v>3.8</v>
      </c>
      <c r="B179">
        <v>21.7</v>
      </c>
      <c r="C179">
        <v>0.2</v>
      </c>
      <c r="D179">
        <v>2.8</v>
      </c>
      <c r="E179">
        <v>6.5</v>
      </c>
      <c r="F179">
        <v>44</v>
      </c>
      <c r="G179" t="s">
        <v>28</v>
      </c>
      <c r="H179" t="s">
        <v>26</v>
      </c>
      <c r="I179">
        <v>2</v>
      </c>
      <c r="J179">
        <v>20</v>
      </c>
      <c r="K179">
        <v>99</v>
      </c>
      <c r="L179">
        <v>34</v>
      </c>
      <c r="M179">
        <v>1011.9</v>
      </c>
      <c r="N179">
        <v>1006.7</v>
      </c>
      <c r="O179">
        <v>7</v>
      </c>
      <c r="P179">
        <v>20.2</v>
      </c>
      <c r="Q179" t="s">
        <v>19</v>
      </c>
      <c r="S179">
        <v>22</v>
      </c>
      <c r="T179">
        <v>31.810375665810675</v>
      </c>
      <c r="U179">
        <v>5.64</v>
      </c>
      <c r="W179">
        <f t="shared" si="24"/>
        <v>20</v>
      </c>
      <c r="X179">
        <f t="shared" si="25"/>
        <v>38.75</v>
      </c>
      <c r="Y179">
        <f t="shared" si="26"/>
        <v>28.5</v>
      </c>
      <c r="Z179">
        <f t="shared" si="27"/>
        <v>34</v>
      </c>
      <c r="AA179">
        <f t="shared" si="28"/>
        <v>61</v>
      </c>
      <c r="AB179">
        <f t="shared" si="29"/>
        <v>122</v>
      </c>
      <c r="AC179" t="str">
        <f t="shared" si="30"/>
        <v>N</v>
      </c>
      <c r="AD179" t="str">
        <f t="shared" si="31"/>
        <v>W</v>
      </c>
      <c r="AE179">
        <f t="shared" si="32"/>
        <v>3</v>
      </c>
    </row>
    <row r="180" spans="1:31" x14ac:dyDescent="0.25">
      <c r="A180">
        <v>7.9</v>
      </c>
      <c r="B180">
        <v>18.7</v>
      </c>
      <c r="C180">
        <v>0</v>
      </c>
      <c r="D180">
        <v>5.8</v>
      </c>
      <c r="E180">
        <v>5.8</v>
      </c>
      <c r="F180">
        <v>59</v>
      </c>
      <c r="G180" t="s">
        <v>33</v>
      </c>
      <c r="H180" t="s">
        <v>17</v>
      </c>
      <c r="I180">
        <v>26</v>
      </c>
      <c r="J180">
        <v>31</v>
      </c>
      <c r="K180">
        <v>68</v>
      </c>
      <c r="L180">
        <v>51</v>
      </c>
      <c r="M180">
        <v>1003.2</v>
      </c>
      <c r="N180">
        <v>997.7</v>
      </c>
      <c r="O180">
        <v>6</v>
      </c>
      <c r="P180">
        <v>16.600000000000001</v>
      </c>
      <c r="Q180" t="s">
        <v>19</v>
      </c>
      <c r="S180">
        <v>19</v>
      </c>
      <c r="T180">
        <v>31.673332631726648</v>
      </c>
      <c r="U180">
        <v>5.63</v>
      </c>
      <c r="W180">
        <f t="shared" si="24"/>
        <v>31</v>
      </c>
      <c r="X180">
        <f t="shared" si="25"/>
        <v>44</v>
      </c>
      <c r="Y180">
        <f t="shared" si="26"/>
        <v>62.8</v>
      </c>
      <c r="Z180">
        <f t="shared" si="27"/>
        <v>51</v>
      </c>
      <c r="AA180">
        <f t="shared" si="28"/>
        <v>18</v>
      </c>
      <c r="AB180">
        <f t="shared" si="29"/>
        <v>163</v>
      </c>
      <c r="AC180" t="str">
        <f t="shared" si="30"/>
        <v>N</v>
      </c>
      <c r="AD180" t="str">
        <f t="shared" si="31"/>
        <v>W</v>
      </c>
      <c r="AE180">
        <f t="shared" si="32"/>
        <v>3</v>
      </c>
    </row>
    <row r="181" spans="1:31" x14ac:dyDescent="0.25">
      <c r="A181">
        <v>4.3</v>
      </c>
      <c r="B181">
        <v>11.3</v>
      </c>
      <c r="C181">
        <v>7.2</v>
      </c>
      <c r="D181">
        <v>4.4000000000000004</v>
      </c>
      <c r="E181">
        <v>5.6</v>
      </c>
      <c r="F181">
        <v>57</v>
      </c>
      <c r="G181" t="s">
        <v>26</v>
      </c>
      <c r="H181" t="s">
        <v>26</v>
      </c>
      <c r="I181">
        <v>26</v>
      </c>
      <c r="J181">
        <v>22</v>
      </c>
      <c r="K181">
        <v>75</v>
      </c>
      <c r="L181">
        <v>60</v>
      </c>
      <c r="M181">
        <v>1006.3</v>
      </c>
      <c r="N181">
        <v>1008.1</v>
      </c>
      <c r="O181">
        <v>3</v>
      </c>
      <c r="P181">
        <v>8.8000000000000007</v>
      </c>
      <c r="Q181" t="s">
        <v>20</v>
      </c>
      <c r="S181">
        <v>11</v>
      </c>
      <c r="T181">
        <v>31.722231951740092</v>
      </c>
      <c r="U181">
        <v>5.63</v>
      </c>
      <c r="W181">
        <f t="shared" si="24"/>
        <v>26</v>
      </c>
      <c r="X181">
        <f t="shared" si="25"/>
        <v>45.75</v>
      </c>
      <c r="Y181">
        <f t="shared" si="26"/>
        <v>53.6</v>
      </c>
      <c r="Z181">
        <f t="shared" si="27"/>
        <v>60</v>
      </c>
      <c r="AA181">
        <f t="shared" si="28"/>
        <v>24</v>
      </c>
      <c r="AB181">
        <f t="shared" si="29"/>
        <v>160</v>
      </c>
      <c r="AC181" t="str">
        <f t="shared" si="30"/>
        <v>Y</v>
      </c>
      <c r="AD181" t="str">
        <f t="shared" si="31"/>
        <v>W</v>
      </c>
      <c r="AE181">
        <f t="shared" si="32"/>
        <v>3</v>
      </c>
    </row>
    <row r="182" spans="1:31" x14ac:dyDescent="0.25">
      <c r="A182">
        <v>-2.1</v>
      </c>
      <c r="B182">
        <v>13.8</v>
      </c>
      <c r="C182">
        <v>0.2</v>
      </c>
      <c r="D182">
        <v>1.8</v>
      </c>
      <c r="E182">
        <v>9.5</v>
      </c>
      <c r="F182">
        <v>22</v>
      </c>
      <c r="G182" t="s">
        <v>35</v>
      </c>
      <c r="H182" t="s">
        <v>33</v>
      </c>
      <c r="I182">
        <v>0</v>
      </c>
      <c r="J182">
        <v>9</v>
      </c>
      <c r="K182">
        <v>69</v>
      </c>
      <c r="L182">
        <v>40</v>
      </c>
      <c r="M182">
        <v>1020.6</v>
      </c>
      <c r="N182">
        <v>1019.6</v>
      </c>
      <c r="O182">
        <v>0</v>
      </c>
      <c r="P182">
        <v>13.2</v>
      </c>
      <c r="Q182" t="s">
        <v>19</v>
      </c>
      <c r="S182">
        <v>14</v>
      </c>
      <c r="T182">
        <v>31.946830828737927</v>
      </c>
      <c r="U182">
        <v>5.65</v>
      </c>
      <c r="W182">
        <f t="shared" si="24"/>
        <v>9</v>
      </c>
      <c r="X182">
        <f t="shared" si="25"/>
        <v>29.5</v>
      </c>
      <c r="Y182">
        <f t="shared" si="26"/>
        <v>18.5</v>
      </c>
      <c r="Z182">
        <f t="shared" si="27"/>
        <v>40</v>
      </c>
      <c r="AA182">
        <f t="shared" si="28"/>
        <v>160</v>
      </c>
      <c r="AB182">
        <f t="shared" si="29"/>
        <v>20</v>
      </c>
      <c r="AC182" t="str">
        <f t="shared" si="30"/>
        <v>N</v>
      </c>
      <c r="AD182" t="str">
        <f t="shared" si="31"/>
        <v>W</v>
      </c>
      <c r="AE182">
        <f t="shared" si="32"/>
        <v>2</v>
      </c>
    </row>
    <row r="183" spans="1:31" x14ac:dyDescent="0.25">
      <c r="A183">
        <v>-1.8</v>
      </c>
      <c r="B183">
        <v>14.8</v>
      </c>
      <c r="C183">
        <v>0</v>
      </c>
      <c r="D183">
        <v>1.4</v>
      </c>
      <c r="E183">
        <v>7</v>
      </c>
      <c r="F183">
        <v>28</v>
      </c>
      <c r="G183" t="s">
        <v>22</v>
      </c>
      <c r="H183" t="s">
        <v>24</v>
      </c>
      <c r="I183">
        <v>2</v>
      </c>
      <c r="J183">
        <v>19</v>
      </c>
      <c r="K183">
        <v>80</v>
      </c>
      <c r="L183">
        <v>40</v>
      </c>
      <c r="M183">
        <v>1024.2</v>
      </c>
      <c r="N183">
        <v>1020.5</v>
      </c>
      <c r="O183">
        <v>1</v>
      </c>
      <c r="P183">
        <v>13.9</v>
      </c>
      <c r="Q183" t="s">
        <v>19</v>
      </c>
      <c r="S183">
        <v>15</v>
      </c>
      <c r="T183">
        <v>32.00312484742701</v>
      </c>
      <c r="U183">
        <v>5.66</v>
      </c>
      <c r="W183">
        <f t="shared" si="24"/>
        <v>19</v>
      </c>
      <c r="X183">
        <f t="shared" si="25"/>
        <v>35.25</v>
      </c>
      <c r="Y183">
        <f t="shared" si="26"/>
        <v>28</v>
      </c>
      <c r="Z183">
        <f t="shared" si="27"/>
        <v>40</v>
      </c>
      <c r="AA183">
        <f t="shared" si="28"/>
        <v>145</v>
      </c>
      <c r="AB183">
        <f t="shared" si="29"/>
        <v>33</v>
      </c>
      <c r="AC183" t="str">
        <f t="shared" si="30"/>
        <v>N</v>
      </c>
      <c r="AD183" t="str">
        <f t="shared" si="31"/>
        <v>N</v>
      </c>
      <c r="AE183">
        <f t="shared" si="32"/>
        <v>1</v>
      </c>
    </row>
    <row r="184" spans="1:31" x14ac:dyDescent="0.25">
      <c r="A184">
        <v>3.8</v>
      </c>
      <c r="B184">
        <v>13.8</v>
      </c>
      <c r="C184">
        <v>0</v>
      </c>
      <c r="D184">
        <v>2.8</v>
      </c>
      <c r="E184">
        <v>0.8</v>
      </c>
      <c r="F184">
        <v>31</v>
      </c>
      <c r="G184" t="s">
        <v>23</v>
      </c>
      <c r="H184" t="s">
        <v>33</v>
      </c>
      <c r="I184">
        <v>6</v>
      </c>
      <c r="J184">
        <v>26</v>
      </c>
      <c r="K184">
        <v>67</v>
      </c>
      <c r="L184">
        <v>54</v>
      </c>
      <c r="M184">
        <v>1020.6</v>
      </c>
      <c r="N184">
        <v>1018.5</v>
      </c>
      <c r="O184">
        <v>7</v>
      </c>
      <c r="P184">
        <v>12.4</v>
      </c>
      <c r="Q184" t="s">
        <v>19</v>
      </c>
      <c r="S184">
        <v>14</v>
      </c>
      <c r="T184">
        <v>31.946830828737927</v>
      </c>
      <c r="U184">
        <v>5.65</v>
      </c>
      <c r="W184">
        <f t="shared" si="24"/>
        <v>26</v>
      </c>
      <c r="X184">
        <f t="shared" si="25"/>
        <v>38.25</v>
      </c>
      <c r="Y184">
        <f t="shared" si="26"/>
        <v>32.799999999999997</v>
      </c>
      <c r="Z184">
        <f t="shared" si="27"/>
        <v>54</v>
      </c>
      <c r="AA184">
        <f t="shared" si="28"/>
        <v>115</v>
      </c>
      <c r="AB184">
        <f t="shared" si="29"/>
        <v>49</v>
      </c>
      <c r="AC184" t="str">
        <f t="shared" si="30"/>
        <v>N</v>
      </c>
      <c r="AD184" t="str">
        <f t="shared" si="31"/>
        <v>W</v>
      </c>
      <c r="AE184">
        <f t="shared" si="32"/>
        <v>1</v>
      </c>
    </row>
    <row r="185" spans="1:31" x14ac:dyDescent="0.25">
      <c r="A185">
        <v>2.1</v>
      </c>
      <c r="B185">
        <v>17.3</v>
      </c>
      <c r="C185">
        <v>0</v>
      </c>
      <c r="D185">
        <v>1.6</v>
      </c>
      <c r="E185">
        <v>9.1999999999999993</v>
      </c>
      <c r="F185">
        <v>43</v>
      </c>
      <c r="G185" t="s">
        <v>34</v>
      </c>
      <c r="H185" t="s">
        <v>26</v>
      </c>
      <c r="I185">
        <v>6</v>
      </c>
      <c r="J185">
        <v>28</v>
      </c>
      <c r="K185">
        <v>81</v>
      </c>
      <c r="L185">
        <v>38</v>
      </c>
      <c r="M185">
        <v>1020</v>
      </c>
      <c r="N185">
        <v>1017.3</v>
      </c>
      <c r="O185">
        <v>1</v>
      </c>
      <c r="P185">
        <v>15.9</v>
      </c>
      <c r="Q185" t="s">
        <v>19</v>
      </c>
      <c r="S185">
        <v>17</v>
      </c>
      <c r="T185">
        <v>31.937438845342623</v>
      </c>
      <c r="U185">
        <v>5.65</v>
      </c>
      <c r="W185">
        <f t="shared" si="24"/>
        <v>28</v>
      </c>
      <c r="X185">
        <f t="shared" si="25"/>
        <v>38.25</v>
      </c>
      <c r="Y185">
        <f t="shared" si="26"/>
        <v>43.2</v>
      </c>
      <c r="Z185">
        <f t="shared" si="27"/>
        <v>38</v>
      </c>
      <c r="AA185">
        <f t="shared" si="28"/>
        <v>64</v>
      </c>
      <c r="AB185">
        <f t="shared" si="29"/>
        <v>107</v>
      </c>
      <c r="AC185" t="str">
        <f t="shared" si="30"/>
        <v>N</v>
      </c>
      <c r="AD185" t="str">
        <f t="shared" si="31"/>
        <v>W</v>
      </c>
      <c r="AE185">
        <f t="shared" si="32"/>
        <v>3</v>
      </c>
    </row>
    <row r="186" spans="1:31" x14ac:dyDescent="0.25">
      <c r="A186">
        <v>0.5</v>
      </c>
      <c r="B186">
        <v>17.100000000000001</v>
      </c>
      <c r="C186">
        <v>0</v>
      </c>
      <c r="D186">
        <v>4</v>
      </c>
      <c r="E186">
        <v>9.4</v>
      </c>
      <c r="F186">
        <v>31</v>
      </c>
      <c r="G186" t="s">
        <v>28</v>
      </c>
      <c r="H186" t="s">
        <v>23</v>
      </c>
      <c r="I186">
        <v>6</v>
      </c>
      <c r="J186">
        <v>13</v>
      </c>
      <c r="K186">
        <v>74</v>
      </c>
      <c r="L186">
        <v>42</v>
      </c>
      <c r="M186">
        <v>1020.8</v>
      </c>
      <c r="N186">
        <v>1017.4</v>
      </c>
      <c r="O186">
        <v>1</v>
      </c>
      <c r="P186">
        <v>16.2</v>
      </c>
      <c r="Q186" t="s">
        <v>19</v>
      </c>
      <c r="S186">
        <v>17</v>
      </c>
      <c r="T186">
        <v>31.949960876345372</v>
      </c>
      <c r="U186">
        <v>5.65</v>
      </c>
      <c r="W186">
        <f t="shared" si="24"/>
        <v>13</v>
      </c>
      <c r="X186">
        <f t="shared" si="25"/>
        <v>33.75</v>
      </c>
      <c r="Y186">
        <f t="shared" si="26"/>
        <v>28.4</v>
      </c>
      <c r="Z186">
        <f t="shared" si="27"/>
        <v>42</v>
      </c>
      <c r="AA186">
        <f t="shared" si="28"/>
        <v>114</v>
      </c>
      <c r="AB186">
        <f t="shared" si="29"/>
        <v>49</v>
      </c>
      <c r="AC186" t="str">
        <f t="shared" si="30"/>
        <v>N</v>
      </c>
      <c r="AD186" t="str">
        <f t="shared" si="31"/>
        <v>W</v>
      </c>
      <c r="AE186">
        <f t="shared" si="32"/>
        <v>3</v>
      </c>
    </row>
    <row r="187" spans="1:31" x14ac:dyDescent="0.25">
      <c r="A187">
        <v>-0.9</v>
      </c>
      <c r="B187">
        <v>16.7</v>
      </c>
      <c r="C187">
        <v>0</v>
      </c>
      <c r="D187">
        <v>2.4</v>
      </c>
      <c r="E187">
        <v>9.3000000000000007</v>
      </c>
      <c r="F187">
        <v>30</v>
      </c>
      <c r="G187" t="s">
        <v>18</v>
      </c>
      <c r="H187" t="s">
        <v>33</v>
      </c>
      <c r="I187">
        <v>2</v>
      </c>
      <c r="J187">
        <v>15</v>
      </c>
      <c r="K187">
        <v>76</v>
      </c>
      <c r="L187">
        <v>42</v>
      </c>
      <c r="M187">
        <v>1022.7</v>
      </c>
      <c r="N187">
        <v>1018.5</v>
      </c>
      <c r="O187">
        <v>5</v>
      </c>
      <c r="P187">
        <v>15.4</v>
      </c>
      <c r="Q187" t="s">
        <v>19</v>
      </c>
      <c r="S187">
        <v>17</v>
      </c>
      <c r="T187">
        <v>31.979681049066141</v>
      </c>
      <c r="U187">
        <v>5.66</v>
      </c>
      <c r="W187">
        <f t="shared" si="24"/>
        <v>15</v>
      </c>
      <c r="X187">
        <f t="shared" si="25"/>
        <v>33.75</v>
      </c>
      <c r="Y187">
        <f t="shared" si="26"/>
        <v>26.3</v>
      </c>
      <c r="Z187">
        <f t="shared" si="27"/>
        <v>42</v>
      </c>
      <c r="AA187">
        <f t="shared" si="28"/>
        <v>132</v>
      </c>
      <c r="AB187">
        <f t="shared" si="29"/>
        <v>39</v>
      </c>
      <c r="AC187" t="str">
        <f t="shared" si="30"/>
        <v>N</v>
      </c>
      <c r="AD187" t="str">
        <f t="shared" si="31"/>
        <v>W</v>
      </c>
      <c r="AE187">
        <f t="shared" si="32"/>
        <v>2</v>
      </c>
    </row>
    <row r="188" spans="1:31" x14ac:dyDescent="0.25">
      <c r="A188">
        <v>0.4</v>
      </c>
      <c r="B188">
        <v>19</v>
      </c>
      <c r="C188">
        <v>0</v>
      </c>
      <c r="D188">
        <v>3.4</v>
      </c>
      <c r="E188">
        <v>8.3000000000000007</v>
      </c>
      <c r="F188">
        <v>39</v>
      </c>
      <c r="G188" t="s">
        <v>32</v>
      </c>
      <c r="H188" t="s">
        <v>26</v>
      </c>
      <c r="I188">
        <v>2</v>
      </c>
      <c r="J188">
        <v>19</v>
      </c>
      <c r="K188">
        <v>76</v>
      </c>
      <c r="L188">
        <v>41</v>
      </c>
      <c r="M188">
        <v>1019.8</v>
      </c>
      <c r="N188">
        <v>1015.8</v>
      </c>
      <c r="O188">
        <v>6</v>
      </c>
      <c r="P188">
        <v>18.5</v>
      </c>
      <c r="Q188" t="s">
        <v>19</v>
      </c>
      <c r="S188">
        <v>19</v>
      </c>
      <c r="T188">
        <v>31.934307570385801</v>
      </c>
      <c r="U188">
        <v>5.65</v>
      </c>
      <c r="W188">
        <f t="shared" si="24"/>
        <v>19</v>
      </c>
      <c r="X188">
        <f t="shared" si="25"/>
        <v>34.5</v>
      </c>
      <c r="Y188">
        <f t="shared" si="26"/>
        <v>29.3</v>
      </c>
      <c r="Z188">
        <f t="shared" si="27"/>
        <v>41</v>
      </c>
      <c r="AA188">
        <f t="shared" si="28"/>
        <v>89</v>
      </c>
      <c r="AB188">
        <f t="shared" si="29"/>
        <v>81</v>
      </c>
      <c r="AC188" t="str">
        <f t="shared" si="30"/>
        <v>N</v>
      </c>
      <c r="AD188" t="str">
        <f t="shared" si="31"/>
        <v>W</v>
      </c>
      <c r="AE188">
        <f t="shared" si="32"/>
        <v>2</v>
      </c>
    </row>
    <row r="189" spans="1:31" x14ac:dyDescent="0.25">
      <c r="A189">
        <v>7.5</v>
      </c>
      <c r="B189">
        <v>16.8</v>
      </c>
      <c r="C189">
        <v>0</v>
      </c>
      <c r="D189">
        <v>2.8</v>
      </c>
      <c r="E189">
        <v>3</v>
      </c>
      <c r="F189">
        <v>41</v>
      </c>
      <c r="G189" t="s">
        <v>23</v>
      </c>
      <c r="H189" t="s">
        <v>17</v>
      </c>
      <c r="I189">
        <v>7</v>
      </c>
      <c r="J189">
        <v>26</v>
      </c>
      <c r="K189">
        <v>70</v>
      </c>
      <c r="L189">
        <v>53</v>
      </c>
      <c r="M189">
        <v>1018</v>
      </c>
      <c r="N189">
        <v>1013.8</v>
      </c>
      <c r="O189">
        <v>7</v>
      </c>
      <c r="P189">
        <v>15.4</v>
      </c>
      <c r="Q189" t="s">
        <v>19</v>
      </c>
      <c r="S189">
        <v>17</v>
      </c>
      <c r="T189">
        <v>31.906112267087632</v>
      </c>
      <c r="U189">
        <v>5.65</v>
      </c>
      <c r="W189">
        <f t="shared" si="24"/>
        <v>26</v>
      </c>
      <c r="X189">
        <f t="shared" si="25"/>
        <v>39</v>
      </c>
      <c r="Y189">
        <f t="shared" si="26"/>
        <v>36</v>
      </c>
      <c r="Z189">
        <f t="shared" si="27"/>
        <v>53</v>
      </c>
      <c r="AA189">
        <f t="shared" si="28"/>
        <v>75</v>
      </c>
      <c r="AB189">
        <f t="shared" si="29"/>
        <v>90</v>
      </c>
      <c r="AC189" t="str">
        <f t="shared" si="30"/>
        <v>N</v>
      </c>
      <c r="AD189" t="str">
        <f t="shared" si="31"/>
        <v>W</v>
      </c>
      <c r="AE189">
        <f t="shared" si="32"/>
        <v>1</v>
      </c>
    </row>
    <row r="190" spans="1:31" x14ac:dyDescent="0.25">
      <c r="A190">
        <v>8.3000000000000007</v>
      </c>
      <c r="B190">
        <v>17.600000000000001</v>
      </c>
      <c r="C190">
        <v>0</v>
      </c>
      <c r="D190">
        <v>3.4</v>
      </c>
      <c r="E190">
        <v>9.4</v>
      </c>
      <c r="F190">
        <v>43</v>
      </c>
      <c r="G190" t="s">
        <v>17</v>
      </c>
      <c r="H190" t="s">
        <v>26</v>
      </c>
      <c r="I190">
        <v>17</v>
      </c>
      <c r="J190">
        <v>30</v>
      </c>
      <c r="K190">
        <v>73</v>
      </c>
      <c r="L190">
        <v>43</v>
      </c>
      <c r="M190">
        <v>1015.8</v>
      </c>
      <c r="N190">
        <v>1013.5</v>
      </c>
      <c r="O190">
        <v>1</v>
      </c>
      <c r="P190">
        <v>16.5</v>
      </c>
      <c r="Q190" t="s">
        <v>19</v>
      </c>
      <c r="S190">
        <v>18</v>
      </c>
      <c r="T190">
        <v>31.871617467583913</v>
      </c>
      <c r="U190">
        <v>5.65</v>
      </c>
      <c r="W190">
        <f t="shared" si="24"/>
        <v>30</v>
      </c>
      <c r="X190">
        <f t="shared" si="25"/>
        <v>40.75</v>
      </c>
      <c r="Y190">
        <f t="shared" si="26"/>
        <v>56.4</v>
      </c>
      <c r="Z190">
        <f t="shared" si="27"/>
        <v>43</v>
      </c>
      <c r="AA190">
        <f t="shared" si="28"/>
        <v>64</v>
      </c>
      <c r="AB190">
        <f t="shared" si="29"/>
        <v>103</v>
      </c>
      <c r="AC190" t="str">
        <f t="shared" si="30"/>
        <v>N</v>
      </c>
      <c r="AD190" t="str">
        <f t="shared" si="31"/>
        <v>W</v>
      </c>
      <c r="AE190">
        <f t="shared" si="32"/>
        <v>2</v>
      </c>
    </row>
    <row r="191" spans="1:31" x14ac:dyDescent="0.25">
      <c r="A191">
        <v>-0.2</v>
      </c>
      <c r="B191">
        <v>18.100000000000001</v>
      </c>
      <c r="C191">
        <v>0</v>
      </c>
      <c r="D191">
        <v>4.4000000000000004</v>
      </c>
      <c r="E191">
        <v>9.4</v>
      </c>
      <c r="F191">
        <v>24</v>
      </c>
      <c r="G191" t="s">
        <v>35</v>
      </c>
      <c r="H191" t="s">
        <v>17</v>
      </c>
      <c r="I191">
        <v>0</v>
      </c>
      <c r="J191">
        <v>9</v>
      </c>
      <c r="K191">
        <v>80</v>
      </c>
      <c r="L191">
        <v>44</v>
      </c>
      <c r="M191">
        <v>1021.4</v>
      </c>
      <c r="N191">
        <v>1018.9</v>
      </c>
      <c r="O191">
        <v>1</v>
      </c>
      <c r="P191">
        <v>16.899999999999999</v>
      </c>
      <c r="Q191" t="s">
        <v>19</v>
      </c>
      <c r="S191">
        <v>18</v>
      </c>
      <c r="T191">
        <v>31.959349179856588</v>
      </c>
      <c r="U191">
        <v>5.65</v>
      </c>
      <c r="W191">
        <f t="shared" si="24"/>
        <v>9</v>
      </c>
      <c r="X191">
        <f t="shared" si="25"/>
        <v>33.25</v>
      </c>
      <c r="Y191">
        <f t="shared" si="26"/>
        <v>18.399999999999999</v>
      </c>
      <c r="Z191">
        <f t="shared" si="27"/>
        <v>44</v>
      </c>
      <c r="AA191">
        <f t="shared" si="28"/>
        <v>148</v>
      </c>
      <c r="AB191">
        <f t="shared" si="29"/>
        <v>25</v>
      </c>
      <c r="AC191" t="str">
        <f t="shared" si="30"/>
        <v>N</v>
      </c>
      <c r="AD191" t="str">
        <f t="shared" si="31"/>
        <v>W</v>
      </c>
      <c r="AE191">
        <f t="shared" si="32"/>
        <v>2</v>
      </c>
    </row>
    <row r="192" spans="1:31" x14ac:dyDescent="0.25">
      <c r="A192">
        <v>0.1</v>
      </c>
      <c r="B192">
        <v>21</v>
      </c>
      <c r="C192">
        <v>0</v>
      </c>
      <c r="D192">
        <v>2.2000000000000002</v>
      </c>
      <c r="E192">
        <v>9.1999999999999993</v>
      </c>
      <c r="F192">
        <v>17</v>
      </c>
      <c r="G192" t="s">
        <v>26</v>
      </c>
      <c r="H192" t="s">
        <v>24</v>
      </c>
      <c r="I192">
        <v>2</v>
      </c>
      <c r="J192">
        <v>9</v>
      </c>
      <c r="K192">
        <v>78</v>
      </c>
      <c r="L192">
        <v>36</v>
      </c>
      <c r="M192">
        <v>1023.2</v>
      </c>
      <c r="N192">
        <v>1020.3</v>
      </c>
      <c r="O192">
        <v>0</v>
      </c>
      <c r="P192">
        <v>20.7</v>
      </c>
      <c r="Q192" t="s">
        <v>19</v>
      </c>
      <c r="S192">
        <v>21</v>
      </c>
      <c r="T192">
        <v>31.98749755763961</v>
      </c>
      <c r="U192">
        <v>5.66</v>
      </c>
      <c r="W192">
        <f t="shared" si="24"/>
        <v>9</v>
      </c>
      <c r="X192">
        <f t="shared" si="25"/>
        <v>31.25</v>
      </c>
      <c r="Y192">
        <f t="shared" si="26"/>
        <v>20.2</v>
      </c>
      <c r="Z192">
        <f t="shared" si="27"/>
        <v>36</v>
      </c>
      <c r="AA192">
        <f t="shared" si="28"/>
        <v>165</v>
      </c>
      <c r="AB192">
        <f t="shared" si="29"/>
        <v>5</v>
      </c>
      <c r="AC192" t="str">
        <f t="shared" si="30"/>
        <v>N</v>
      </c>
      <c r="AD192" t="str">
        <f t="shared" si="31"/>
        <v>N</v>
      </c>
      <c r="AE192">
        <f t="shared" si="32"/>
        <v>3</v>
      </c>
    </row>
    <row r="193" spans="1:31" x14ac:dyDescent="0.25">
      <c r="A193">
        <v>1.5</v>
      </c>
      <c r="B193">
        <v>20.9</v>
      </c>
      <c r="C193">
        <v>0</v>
      </c>
      <c r="D193">
        <v>2.4</v>
      </c>
      <c r="E193">
        <v>9.3000000000000007</v>
      </c>
      <c r="F193">
        <v>20</v>
      </c>
      <c r="G193" t="s">
        <v>17</v>
      </c>
      <c r="H193" t="s">
        <v>33</v>
      </c>
      <c r="I193">
        <v>2</v>
      </c>
      <c r="J193">
        <v>9</v>
      </c>
      <c r="K193">
        <v>80</v>
      </c>
      <c r="L193">
        <v>41</v>
      </c>
      <c r="M193">
        <v>1023.2</v>
      </c>
      <c r="N193">
        <v>1020</v>
      </c>
      <c r="O193">
        <v>1</v>
      </c>
      <c r="P193">
        <v>20.9</v>
      </c>
      <c r="Q193" t="s">
        <v>19</v>
      </c>
      <c r="S193">
        <v>21</v>
      </c>
      <c r="T193">
        <v>31.98749755763961</v>
      </c>
      <c r="U193">
        <v>5.66</v>
      </c>
      <c r="W193">
        <f t="shared" si="24"/>
        <v>9</v>
      </c>
      <c r="X193">
        <f t="shared" si="25"/>
        <v>33</v>
      </c>
      <c r="Y193">
        <f t="shared" si="26"/>
        <v>20.3</v>
      </c>
      <c r="Z193">
        <f t="shared" si="27"/>
        <v>41</v>
      </c>
      <c r="AA193">
        <f t="shared" si="28"/>
        <v>156</v>
      </c>
      <c r="AB193">
        <f t="shared" si="29"/>
        <v>10</v>
      </c>
      <c r="AC193" t="str">
        <f t="shared" si="30"/>
        <v>N</v>
      </c>
      <c r="AD193" t="str">
        <f t="shared" si="31"/>
        <v>W</v>
      </c>
      <c r="AE193">
        <f t="shared" si="32"/>
        <v>2</v>
      </c>
    </row>
    <row r="194" spans="1:31" x14ac:dyDescent="0.25">
      <c r="A194">
        <v>8.3000000000000007</v>
      </c>
      <c r="B194">
        <v>17.399999999999999</v>
      </c>
      <c r="C194">
        <v>0</v>
      </c>
      <c r="D194">
        <v>2</v>
      </c>
      <c r="E194">
        <v>1.6</v>
      </c>
      <c r="F194">
        <v>20</v>
      </c>
      <c r="G194" t="s">
        <v>31</v>
      </c>
      <c r="H194" t="s">
        <v>32</v>
      </c>
      <c r="I194">
        <v>6</v>
      </c>
      <c r="J194">
        <v>11</v>
      </c>
      <c r="K194">
        <v>80</v>
      </c>
      <c r="L194">
        <v>52</v>
      </c>
      <c r="M194">
        <v>1024.4000000000001</v>
      </c>
      <c r="N194">
        <v>1021.5</v>
      </c>
      <c r="O194">
        <v>7</v>
      </c>
      <c r="P194">
        <v>17.2</v>
      </c>
      <c r="Q194" t="s">
        <v>19</v>
      </c>
      <c r="S194">
        <v>17</v>
      </c>
      <c r="T194">
        <v>32.006249389767618</v>
      </c>
      <c r="U194">
        <v>5.66</v>
      </c>
      <c r="W194">
        <f t="shared" ref="W194:W257" si="33">MAX(I194:J194)</f>
        <v>11</v>
      </c>
      <c r="X194">
        <f t="shared" ref="X194:X257" si="34">AVERAGE(I194:J194,K194:L194)</f>
        <v>37.25</v>
      </c>
      <c r="Y194">
        <f t="shared" ref="Y194:Y257" si="35">SUM(I194,E194,J194)</f>
        <v>18.600000000000001</v>
      </c>
      <c r="Z194">
        <f t="shared" ref="Z194:Z257" si="36">MEDIAN(D194,L194,K194)</f>
        <v>52</v>
      </c>
      <c r="AA194">
        <f t="shared" ref="AA194:AA257" si="37">RANK(F194,F194:F559,0)</f>
        <v>156</v>
      </c>
      <c r="AB194">
        <f t="shared" ref="AB194:AB257" si="38">RANK(F194,F194:F559,1)</f>
        <v>10</v>
      </c>
      <c r="AC194" t="str">
        <f t="shared" ref="AC194:AC257" si="39">LEFT(Q194,1)</f>
        <v>N</v>
      </c>
      <c r="AD194" t="str">
        <f t="shared" ref="AD194:AD257" si="40">RIGHT(H194,1)</f>
        <v>E</v>
      </c>
      <c r="AE194">
        <f t="shared" ref="AE194:AE257" si="41">LEN(G194)</f>
        <v>3</v>
      </c>
    </row>
    <row r="195" spans="1:31" x14ac:dyDescent="0.25">
      <c r="A195">
        <v>9.4</v>
      </c>
      <c r="B195">
        <v>19.2</v>
      </c>
      <c r="C195">
        <v>0</v>
      </c>
      <c r="D195">
        <v>2.2000000000000002</v>
      </c>
      <c r="E195">
        <v>7.7</v>
      </c>
      <c r="F195">
        <v>24</v>
      </c>
      <c r="G195" t="s">
        <v>22</v>
      </c>
      <c r="H195" t="s">
        <v>33</v>
      </c>
      <c r="I195">
        <v>4</v>
      </c>
      <c r="J195">
        <v>15</v>
      </c>
      <c r="K195">
        <v>73</v>
      </c>
      <c r="L195">
        <v>47</v>
      </c>
      <c r="M195">
        <v>1024.2</v>
      </c>
      <c r="N195">
        <v>1020.3</v>
      </c>
      <c r="O195">
        <v>7</v>
      </c>
      <c r="P195">
        <v>18.8</v>
      </c>
      <c r="Q195" t="s">
        <v>19</v>
      </c>
      <c r="S195">
        <v>19</v>
      </c>
      <c r="T195">
        <v>32.00312484742701</v>
      </c>
      <c r="U195">
        <v>5.66</v>
      </c>
      <c r="W195">
        <f t="shared" si="33"/>
        <v>15</v>
      </c>
      <c r="X195">
        <f t="shared" si="34"/>
        <v>34.75</v>
      </c>
      <c r="Y195">
        <f t="shared" si="35"/>
        <v>26.7</v>
      </c>
      <c r="Z195">
        <f t="shared" si="36"/>
        <v>47</v>
      </c>
      <c r="AA195">
        <f t="shared" si="37"/>
        <v>148</v>
      </c>
      <c r="AB195">
        <f t="shared" si="38"/>
        <v>22</v>
      </c>
      <c r="AC195" t="str">
        <f t="shared" si="39"/>
        <v>N</v>
      </c>
      <c r="AD195" t="str">
        <f t="shared" si="40"/>
        <v>W</v>
      </c>
      <c r="AE195">
        <f t="shared" si="41"/>
        <v>1</v>
      </c>
    </row>
    <row r="196" spans="1:31" x14ac:dyDescent="0.25">
      <c r="A196">
        <v>1.3</v>
      </c>
      <c r="B196">
        <v>19</v>
      </c>
      <c r="C196">
        <v>0</v>
      </c>
      <c r="D196">
        <v>2.2000000000000002</v>
      </c>
      <c r="E196">
        <v>9.4</v>
      </c>
      <c r="F196">
        <v>30</v>
      </c>
      <c r="G196" t="s">
        <v>29</v>
      </c>
      <c r="H196" t="s">
        <v>17</v>
      </c>
      <c r="I196">
        <v>7</v>
      </c>
      <c r="J196">
        <v>15</v>
      </c>
      <c r="K196">
        <v>87</v>
      </c>
      <c r="L196">
        <v>34</v>
      </c>
      <c r="M196">
        <v>1024.7</v>
      </c>
      <c r="N196">
        <v>1021.4</v>
      </c>
      <c r="O196">
        <v>1</v>
      </c>
      <c r="P196">
        <v>18.600000000000001</v>
      </c>
      <c r="Q196" t="s">
        <v>19</v>
      </c>
      <c r="S196">
        <v>19</v>
      </c>
      <c r="T196">
        <v>32.010935631436958</v>
      </c>
      <c r="U196">
        <v>5.66</v>
      </c>
      <c r="W196">
        <f t="shared" si="33"/>
        <v>15</v>
      </c>
      <c r="X196">
        <f t="shared" si="34"/>
        <v>35.75</v>
      </c>
      <c r="Y196">
        <f t="shared" si="35"/>
        <v>31.4</v>
      </c>
      <c r="Z196">
        <f t="shared" si="36"/>
        <v>34</v>
      </c>
      <c r="AA196">
        <f t="shared" si="37"/>
        <v>129</v>
      </c>
      <c r="AB196">
        <f t="shared" si="38"/>
        <v>34</v>
      </c>
      <c r="AC196" t="str">
        <f t="shared" si="39"/>
        <v>N</v>
      </c>
      <c r="AD196" t="str">
        <f t="shared" si="40"/>
        <v>W</v>
      </c>
      <c r="AE196">
        <f t="shared" si="41"/>
        <v>2</v>
      </c>
    </row>
    <row r="197" spans="1:31" x14ac:dyDescent="0.25">
      <c r="A197">
        <v>2.2000000000000002</v>
      </c>
      <c r="B197">
        <v>18.600000000000001</v>
      </c>
      <c r="C197">
        <v>0</v>
      </c>
      <c r="D197">
        <v>2</v>
      </c>
      <c r="E197">
        <v>9.1999999999999993</v>
      </c>
      <c r="F197">
        <v>31</v>
      </c>
      <c r="G197" t="s">
        <v>35</v>
      </c>
      <c r="H197" t="s">
        <v>33</v>
      </c>
      <c r="I197" t="s">
        <v>35</v>
      </c>
      <c r="J197">
        <v>20</v>
      </c>
      <c r="K197">
        <v>84</v>
      </c>
      <c r="L197">
        <v>44</v>
      </c>
      <c r="M197">
        <v>1024.4000000000001</v>
      </c>
      <c r="N197">
        <v>1021</v>
      </c>
      <c r="O197">
        <v>1</v>
      </c>
      <c r="P197">
        <v>17.8</v>
      </c>
      <c r="Q197" t="s">
        <v>19</v>
      </c>
      <c r="S197">
        <v>19</v>
      </c>
      <c r="T197">
        <v>32.006249389767618</v>
      </c>
      <c r="U197">
        <v>5.66</v>
      </c>
      <c r="W197">
        <f t="shared" si="33"/>
        <v>20</v>
      </c>
      <c r="X197">
        <f t="shared" si="34"/>
        <v>49.333333333333336</v>
      </c>
      <c r="Y197">
        <f t="shared" si="35"/>
        <v>29.2</v>
      </c>
      <c r="Z197">
        <f t="shared" si="36"/>
        <v>44</v>
      </c>
      <c r="AA197">
        <f t="shared" si="37"/>
        <v>111</v>
      </c>
      <c r="AB197">
        <f t="shared" si="38"/>
        <v>42</v>
      </c>
      <c r="AC197" t="str">
        <f t="shared" si="39"/>
        <v>N</v>
      </c>
      <c r="AD197" t="str">
        <f t="shared" si="40"/>
        <v>W</v>
      </c>
      <c r="AE197">
        <f t="shared" si="41"/>
        <v>2</v>
      </c>
    </row>
    <row r="198" spans="1:31" x14ac:dyDescent="0.25">
      <c r="A198">
        <v>-0.4</v>
      </c>
      <c r="B198">
        <v>17.899999999999999</v>
      </c>
      <c r="C198">
        <v>0</v>
      </c>
      <c r="D198">
        <v>2.4</v>
      </c>
      <c r="E198">
        <v>8.6999999999999993</v>
      </c>
      <c r="F198">
        <v>33</v>
      </c>
      <c r="G198" t="s">
        <v>25</v>
      </c>
      <c r="H198" t="s">
        <v>17</v>
      </c>
      <c r="I198">
        <v>2</v>
      </c>
      <c r="J198">
        <v>20</v>
      </c>
      <c r="K198">
        <v>80</v>
      </c>
      <c r="L198">
        <v>40</v>
      </c>
      <c r="M198">
        <v>1023.5</v>
      </c>
      <c r="N198">
        <v>1018.7</v>
      </c>
      <c r="O198">
        <v>1</v>
      </c>
      <c r="P198">
        <v>17.7</v>
      </c>
      <c r="Q198" t="s">
        <v>19</v>
      </c>
      <c r="S198">
        <v>18</v>
      </c>
      <c r="T198">
        <v>31.992186546092782</v>
      </c>
      <c r="U198">
        <v>5.66</v>
      </c>
      <c r="W198">
        <f t="shared" si="33"/>
        <v>20</v>
      </c>
      <c r="X198">
        <f t="shared" si="34"/>
        <v>35.5</v>
      </c>
      <c r="Y198">
        <f t="shared" si="35"/>
        <v>30.7</v>
      </c>
      <c r="Z198">
        <f t="shared" si="36"/>
        <v>40</v>
      </c>
      <c r="AA198">
        <f t="shared" si="37"/>
        <v>106</v>
      </c>
      <c r="AB198">
        <f t="shared" si="38"/>
        <v>59</v>
      </c>
      <c r="AC198" t="str">
        <f t="shared" si="39"/>
        <v>N</v>
      </c>
      <c r="AD198" t="str">
        <f t="shared" si="40"/>
        <v>W</v>
      </c>
      <c r="AE198">
        <f t="shared" si="41"/>
        <v>3</v>
      </c>
    </row>
    <row r="199" spans="1:31" x14ac:dyDescent="0.25">
      <c r="A199">
        <v>4.5</v>
      </c>
      <c r="B199">
        <v>16</v>
      </c>
      <c r="C199">
        <v>1.8</v>
      </c>
      <c r="D199">
        <v>3</v>
      </c>
      <c r="E199">
        <v>4.3</v>
      </c>
      <c r="F199">
        <v>35</v>
      </c>
      <c r="G199" t="s">
        <v>23</v>
      </c>
      <c r="H199" t="s">
        <v>17</v>
      </c>
      <c r="I199">
        <v>9</v>
      </c>
      <c r="J199">
        <v>15</v>
      </c>
      <c r="K199">
        <v>88</v>
      </c>
      <c r="L199">
        <v>69</v>
      </c>
      <c r="M199">
        <v>1017.7</v>
      </c>
      <c r="N199">
        <v>1013.7</v>
      </c>
      <c r="O199">
        <v>7</v>
      </c>
      <c r="P199">
        <v>15.2</v>
      </c>
      <c r="Q199" t="s">
        <v>20</v>
      </c>
      <c r="S199">
        <v>16</v>
      </c>
      <c r="T199">
        <v>31.901410627118043</v>
      </c>
      <c r="U199">
        <v>5.65</v>
      </c>
      <c r="W199">
        <f t="shared" si="33"/>
        <v>15</v>
      </c>
      <c r="X199">
        <f t="shared" si="34"/>
        <v>45.25</v>
      </c>
      <c r="Y199">
        <f t="shared" si="35"/>
        <v>28.3</v>
      </c>
      <c r="Z199">
        <f t="shared" si="36"/>
        <v>69</v>
      </c>
      <c r="AA199">
        <f t="shared" si="37"/>
        <v>96</v>
      </c>
      <c r="AB199">
        <f t="shared" si="38"/>
        <v>63</v>
      </c>
      <c r="AC199" t="str">
        <f t="shared" si="39"/>
        <v>Y</v>
      </c>
      <c r="AD199" t="str">
        <f t="shared" si="40"/>
        <v>W</v>
      </c>
      <c r="AE199">
        <f t="shared" si="41"/>
        <v>1</v>
      </c>
    </row>
    <row r="200" spans="1:31" x14ac:dyDescent="0.25">
      <c r="A200">
        <v>7.9</v>
      </c>
      <c r="B200">
        <v>12.3</v>
      </c>
      <c r="C200">
        <v>1</v>
      </c>
      <c r="D200">
        <v>1.8</v>
      </c>
      <c r="E200">
        <v>1.7</v>
      </c>
      <c r="F200">
        <v>52</v>
      </c>
      <c r="G200" t="s">
        <v>33</v>
      </c>
      <c r="H200" t="s">
        <v>17</v>
      </c>
      <c r="I200">
        <v>30</v>
      </c>
      <c r="J200">
        <v>24</v>
      </c>
      <c r="K200">
        <v>68</v>
      </c>
      <c r="L200">
        <v>78</v>
      </c>
      <c r="M200">
        <v>1006.3</v>
      </c>
      <c r="N200">
        <v>1005.9</v>
      </c>
      <c r="O200">
        <v>7</v>
      </c>
      <c r="P200">
        <v>7.3</v>
      </c>
      <c r="Q200" t="s">
        <v>19</v>
      </c>
      <c r="S200">
        <v>12</v>
      </c>
      <c r="T200">
        <v>31.722231951740092</v>
      </c>
      <c r="U200">
        <v>5.63</v>
      </c>
      <c r="W200">
        <f t="shared" si="33"/>
        <v>30</v>
      </c>
      <c r="X200">
        <f t="shared" si="34"/>
        <v>50</v>
      </c>
      <c r="Y200">
        <f t="shared" si="35"/>
        <v>55.7</v>
      </c>
      <c r="Z200">
        <f t="shared" si="36"/>
        <v>68</v>
      </c>
      <c r="AA200">
        <f t="shared" si="37"/>
        <v>29</v>
      </c>
      <c r="AB200">
        <f t="shared" si="38"/>
        <v>133</v>
      </c>
      <c r="AC200" t="str">
        <f t="shared" si="39"/>
        <v>N</v>
      </c>
      <c r="AD200" t="str">
        <f t="shared" si="40"/>
        <v>W</v>
      </c>
      <c r="AE200">
        <f t="shared" si="41"/>
        <v>3</v>
      </c>
    </row>
    <row r="201" spans="1:31" x14ac:dyDescent="0.25">
      <c r="A201">
        <v>4.3</v>
      </c>
      <c r="B201">
        <v>14.1</v>
      </c>
      <c r="C201">
        <v>0.8</v>
      </c>
      <c r="D201">
        <v>1.6</v>
      </c>
      <c r="E201">
        <v>8.8000000000000007</v>
      </c>
      <c r="F201">
        <v>41</v>
      </c>
      <c r="G201" t="s">
        <v>33</v>
      </c>
      <c r="H201" t="s">
        <v>26</v>
      </c>
      <c r="I201">
        <v>13</v>
      </c>
      <c r="J201">
        <v>26</v>
      </c>
      <c r="K201">
        <v>71</v>
      </c>
      <c r="L201">
        <v>53</v>
      </c>
      <c r="M201">
        <v>1008.4</v>
      </c>
      <c r="N201">
        <v>1008.3</v>
      </c>
      <c r="O201">
        <v>6</v>
      </c>
      <c r="P201">
        <v>13.3</v>
      </c>
      <c r="Q201" t="s">
        <v>19</v>
      </c>
      <c r="S201">
        <v>14</v>
      </c>
      <c r="T201">
        <v>31.755314515841281</v>
      </c>
      <c r="U201">
        <v>5.64</v>
      </c>
      <c r="W201">
        <f t="shared" si="33"/>
        <v>26</v>
      </c>
      <c r="X201">
        <f t="shared" si="34"/>
        <v>40.75</v>
      </c>
      <c r="Y201">
        <f t="shared" si="35"/>
        <v>47.8</v>
      </c>
      <c r="Z201">
        <f t="shared" si="36"/>
        <v>53</v>
      </c>
      <c r="AA201">
        <f t="shared" si="37"/>
        <v>73</v>
      </c>
      <c r="AB201">
        <f t="shared" si="38"/>
        <v>81</v>
      </c>
      <c r="AC201" t="str">
        <f t="shared" si="39"/>
        <v>N</v>
      </c>
      <c r="AD201" t="str">
        <f t="shared" si="40"/>
        <v>W</v>
      </c>
      <c r="AE201">
        <f t="shared" si="41"/>
        <v>3</v>
      </c>
    </row>
    <row r="202" spans="1:31" x14ac:dyDescent="0.25">
      <c r="A202">
        <v>-2.7</v>
      </c>
      <c r="B202">
        <v>18.100000000000001</v>
      </c>
      <c r="C202">
        <v>0</v>
      </c>
      <c r="D202">
        <v>2.2000000000000002</v>
      </c>
      <c r="E202">
        <v>9.3000000000000007</v>
      </c>
      <c r="F202">
        <v>52</v>
      </c>
      <c r="G202" t="s">
        <v>35</v>
      </c>
      <c r="H202" t="s">
        <v>26</v>
      </c>
      <c r="I202">
        <v>0</v>
      </c>
      <c r="J202">
        <v>24</v>
      </c>
      <c r="K202">
        <v>85</v>
      </c>
      <c r="L202">
        <v>36</v>
      </c>
      <c r="M202">
        <v>1017.8</v>
      </c>
      <c r="N202">
        <v>1014.3</v>
      </c>
      <c r="O202">
        <v>1</v>
      </c>
      <c r="P202">
        <v>16.7</v>
      </c>
      <c r="Q202" t="s">
        <v>19</v>
      </c>
      <c r="S202">
        <v>18</v>
      </c>
      <c r="T202">
        <v>31.902977917429588</v>
      </c>
      <c r="U202">
        <v>5.65</v>
      </c>
      <c r="W202">
        <f t="shared" si="33"/>
        <v>24</v>
      </c>
      <c r="X202">
        <f t="shared" si="34"/>
        <v>36.25</v>
      </c>
      <c r="Y202">
        <f t="shared" si="35"/>
        <v>33.299999999999997</v>
      </c>
      <c r="Z202">
        <f t="shared" si="36"/>
        <v>36</v>
      </c>
      <c r="AA202">
        <f t="shared" si="37"/>
        <v>29</v>
      </c>
      <c r="AB202">
        <f t="shared" si="38"/>
        <v>132</v>
      </c>
      <c r="AC202" t="str">
        <f t="shared" si="39"/>
        <v>N</v>
      </c>
      <c r="AD202" t="str">
        <f t="shared" si="40"/>
        <v>W</v>
      </c>
      <c r="AE202">
        <f t="shared" si="41"/>
        <v>2</v>
      </c>
    </row>
    <row r="203" spans="1:31" x14ac:dyDescent="0.25">
      <c r="A203">
        <v>0.3</v>
      </c>
      <c r="B203">
        <v>17</v>
      </c>
      <c r="C203">
        <v>0</v>
      </c>
      <c r="D203">
        <v>2.2000000000000002</v>
      </c>
      <c r="E203">
        <v>5.6</v>
      </c>
      <c r="F203">
        <v>31</v>
      </c>
      <c r="G203" t="s">
        <v>30</v>
      </c>
      <c r="H203" t="s">
        <v>26</v>
      </c>
      <c r="I203">
        <v>6</v>
      </c>
      <c r="J203">
        <v>24</v>
      </c>
      <c r="K203">
        <v>99</v>
      </c>
      <c r="L203">
        <v>52</v>
      </c>
      <c r="M203">
        <v>1021.9</v>
      </c>
      <c r="N203">
        <v>1018.6</v>
      </c>
      <c r="O203">
        <v>8</v>
      </c>
      <c r="P203">
        <v>16.2</v>
      </c>
      <c r="Q203" t="s">
        <v>19</v>
      </c>
      <c r="S203">
        <v>17</v>
      </c>
      <c r="T203">
        <v>31.967170659912959</v>
      </c>
      <c r="U203">
        <v>5.65</v>
      </c>
      <c r="W203">
        <f t="shared" si="33"/>
        <v>24</v>
      </c>
      <c r="X203">
        <f t="shared" si="34"/>
        <v>45.25</v>
      </c>
      <c r="Y203">
        <f t="shared" si="35"/>
        <v>35.6</v>
      </c>
      <c r="Z203">
        <f t="shared" si="36"/>
        <v>52</v>
      </c>
      <c r="AA203">
        <f t="shared" si="37"/>
        <v>106</v>
      </c>
      <c r="AB203">
        <f t="shared" si="38"/>
        <v>42</v>
      </c>
      <c r="AC203" t="str">
        <f t="shared" si="39"/>
        <v>N</v>
      </c>
      <c r="AD203" t="str">
        <f t="shared" si="40"/>
        <v>W</v>
      </c>
      <c r="AE203">
        <f t="shared" si="41"/>
        <v>1</v>
      </c>
    </row>
    <row r="204" spans="1:31" x14ac:dyDescent="0.25">
      <c r="A204">
        <v>3.8</v>
      </c>
      <c r="B204">
        <v>17.399999999999999</v>
      </c>
      <c r="C204">
        <v>0</v>
      </c>
      <c r="D204">
        <v>2.6</v>
      </c>
      <c r="E204">
        <v>7.3</v>
      </c>
      <c r="F204">
        <v>24</v>
      </c>
      <c r="G204" t="s">
        <v>28</v>
      </c>
      <c r="H204" t="s">
        <v>23</v>
      </c>
      <c r="I204">
        <v>2</v>
      </c>
      <c r="J204">
        <v>7</v>
      </c>
      <c r="K204">
        <v>81</v>
      </c>
      <c r="L204">
        <v>47</v>
      </c>
      <c r="M204">
        <v>1024.5</v>
      </c>
      <c r="N204">
        <v>1022.9</v>
      </c>
      <c r="O204">
        <v>6</v>
      </c>
      <c r="P204">
        <v>16.600000000000001</v>
      </c>
      <c r="Q204" t="s">
        <v>19</v>
      </c>
      <c r="S204">
        <v>17</v>
      </c>
      <c r="T204">
        <v>32.007811546558443</v>
      </c>
      <c r="U204">
        <v>5.66</v>
      </c>
      <c r="W204">
        <f t="shared" si="33"/>
        <v>7</v>
      </c>
      <c r="X204">
        <f t="shared" si="34"/>
        <v>34.25</v>
      </c>
      <c r="Y204">
        <f t="shared" si="35"/>
        <v>16.3</v>
      </c>
      <c r="Z204">
        <f t="shared" si="36"/>
        <v>47</v>
      </c>
      <c r="AA204">
        <f t="shared" si="37"/>
        <v>140</v>
      </c>
      <c r="AB204">
        <f t="shared" si="38"/>
        <v>22</v>
      </c>
      <c r="AC204" t="str">
        <f t="shared" si="39"/>
        <v>N</v>
      </c>
      <c r="AD204" t="str">
        <f t="shared" si="40"/>
        <v>W</v>
      </c>
      <c r="AE204">
        <f t="shared" si="41"/>
        <v>3</v>
      </c>
    </row>
    <row r="205" spans="1:31" x14ac:dyDescent="0.25">
      <c r="A205">
        <v>2.4</v>
      </c>
      <c r="B205">
        <v>14.7</v>
      </c>
      <c r="C205">
        <v>0</v>
      </c>
      <c r="D205">
        <v>2.6</v>
      </c>
      <c r="E205">
        <v>9.1999999999999993</v>
      </c>
      <c r="F205">
        <v>20</v>
      </c>
      <c r="G205" t="s">
        <v>27</v>
      </c>
      <c r="H205" t="s">
        <v>22</v>
      </c>
      <c r="I205">
        <v>7</v>
      </c>
      <c r="J205">
        <v>6</v>
      </c>
      <c r="K205">
        <v>74</v>
      </c>
      <c r="L205">
        <v>43</v>
      </c>
      <c r="M205">
        <v>1030.4000000000001</v>
      </c>
      <c r="N205">
        <v>1026</v>
      </c>
      <c r="O205">
        <v>1</v>
      </c>
      <c r="P205">
        <v>13.8</v>
      </c>
      <c r="Q205" t="s">
        <v>19</v>
      </c>
      <c r="S205">
        <v>15</v>
      </c>
      <c r="T205">
        <v>32.099844236382211</v>
      </c>
      <c r="U205">
        <v>5.67</v>
      </c>
      <c r="W205">
        <f t="shared" si="33"/>
        <v>7</v>
      </c>
      <c r="X205">
        <f t="shared" si="34"/>
        <v>32.5</v>
      </c>
      <c r="Y205">
        <f t="shared" si="35"/>
        <v>22.2</v>
      </c>
      <c r="Z205">
        <f t="shared" si="36"/>
        <v>43</v>
      </c>
      <c r="AA205">
        <f t="shared" si="37"/>
        <v>146</v>
      </c>
      <c r="AB205">
        <f t="shared" si="38"/>
        <v>10</v>
      </c>
      <c r="AC205" t="str">
        <f t="shared" si="39"/>
        <v>N</v>
      </c>
      <c r="AD205" t="str">
        <f t="shared" si="40"/>
        <v>E</v>
      </c>
      <c r="AE205">
        <f t="shared" si="41"/>
        <v>3</v>
      </c>
    </row>
    <row r="206" spans="1:31" x14ac:dyDescent="0.25">
      <c r="A206">
        <v>1.2</v>
      </c>
      <c r="B206">
        <v>14.8</v>
      </c>
      <c r="C206">
        <v>0</v>
      </c>
      <c r="D206">
        <v>2.4</v>
      </c>
      <c r="E206">
        <v>6.7</v>
      </c>
      <c r="F206">
        <v>17</v>
      </c>
      <c r="G206" t="s">
        <v>29</v>
      </c>
      <c r="H206" t="s">
        <v>34</v>
      </c>
      <c r="I206">
        <v>11</v>
      </c>
      <c r="J206">
        <v>6</v>
      </c>
      <c r="K206">
        <v>81</v>
      </c>
      <c r="L206">
        <v>49</v>
      </c>
      <c r="M206">
        <v>1028.5</v>
      </c>
      <c r="N206">
        <v>1024.8</v>
      </c>
      <c r="O206">
        <v>7</v>
      </c>
      <c r="P206">
        <v>14.5</v>
      </c>
      <c r="Q206" t="s">
        <v>19</v>
      </c>
      <c r="S206">
        <v>15</v>
      </c>
      <c r="T206">
        <v>32.070235421649151</v>
      </c>
      <c r="U206">
        <v>5.66</v>
      </c>
      <c r="W206">
        <f t="shared" si="33"/>
        <v>11</v>
      </c>
      <c r="X206">
        <f t="shared" si="34"/>
        <v>36.75</v>
      </c>
      <c r="Y206">
        <f t="shared" si="35"/>
        <v>23.7</v>
      </c>
      <c r="Z206">
        <f t="shared" si="36"/>
        <v>49</v>
      </c>
      <c r="AA206">
        <f t="shared" si="37"/>
        <v>152</v>
      </c>
      <c r="AB206">
        <f t="shared" si="38"/>
        <v>5</v>
      </c>
      <c r="AC206" t="str">
        <f t="shared" si="39"/>
        <v>N</v>
      </c>
      <c r="AD206" t="str">
        <f t="shared" si="40"/>
        <v>W</v>
      </c>
      <c r="AE206">
        <f t="shared" si="41"/>
        <v>2</v>
      </c>
    </row>
    <row r="207" spans="1:31" x14ac:dyDescent="0.25">
      <c r="A207">
        <v>1.2</v>
      </c>
      <c r="B207">
        <v>14.5</v>
      </c>
      <c r="C207">
        <v>0</v>
      </c>
      <c r="D207">
        <v>1.2</v>
      </c>
      <c r="E207">
        <v>8.9</v>
      </c>
      <c r="F207">
        <v>17</v>
      </c>
      <c r="G207" t="s">
        <v>29</v>
      </c>
      <c r="H207" t="s">
        <v>34</v>
      </c>
      <c r="I207">
        <v>6</v>
      </c>
      <c r="J207">
        <v>6</v>
      </c>
      <c r="K207">
        <v>74</v>
      </c>
      <c r="L207">
        <v>43</v>
      </c>
      <c r="M207">
        <v>1026.7</v>
      </c>
      <c r="N207">
        <v>1023.5</v>
      </c>
      <c r="O207">
        <v>0</v>
      </c>
      <c r="P207">
        <v>13.9</v>
      </c>
      <c r="Q207" t="s">
        <v>19</v>
      </c>
      <c r="S207">
        <v>15</v>
      </c>
      <c r="T207">
        <v>32.042159727459072</v>
      </c>
      <c r="U207">
        <v>5.66</v>
      </c>
      <c r="W207">
        <f t="shared" si="33"/>
        <v>6</v>
      </c>
      <c r="X207">
        <f t="shared" si="34"/>
        <v>32.25</v>
      </c>
      <c r="Y207">
        <f t="shared" si="35"/>
        <v>20.9</v>
      </c>
      <c r="Z207">
        <f t="shared" si="36"/>
        <v>43</v>
      </c>
      <c r="AA207">
        <f t="shared" si="37"/>
        <v>152</v>
      </c>
      <c r="AB207">
        <f t="shared" si="38"/>
        <v>5</v>
      </c>
      <c r="AC207" t="str">
        <f t="shared" si="39"/>
        <v>N</v>
      </c>
      <c r="AD207" t="str">
        <f t="shared" si="40"/>
        <v>W</v>
      </c>
      <c r="AE207">
        <f t="shared" si="41"/>
        <v>2</v>
      </c>
    </row>
    <row r="208" spans="1:31" x14ac:dyDescent="0.25">
      <c r="A208">
        <v>-0.3</v>
      </c>
      <c r="B208">
        <v>17.5</v>
      </c>
      <c r="C208">
        <v>0</v>
      </c>
      <c r="D208">
        <v>1.6</v>
      </c>
      <c r="E208">
        <v>8.4</v>
      </c>
      <c r="F208">
        <v>39</v>
      </c>
      <c r="G208" t="s">
        <v>29</v>
      </c>
      <c r="H208" t="s">
        <v>33</v>
      </c>
      <c r="I208">
        <v>6</v>
      </c>
      <c r="J208">
        <v>15</v>
      </c>
      <c r="K208">
        <v>81</v>
      </c>
      <c r="L208">
        <v>48</v>
      </c>
      <c r="M208">
        <v>1025.5</v>
      </c>
      <c r="N208">
        <v>1021.8</v>
      </c>
      <c r="O208">
        <v>1</v>
      </c>
      <c r="P208">
        <v>17.2</v>
      </c>
      <c r="Q208" t="s">
        <v>19</v>
      </c>
      <c r="S208">
        <v>18</v>
      </c>
      <c r="T208">
        <v>32.023428923211831</v>
      </c>
      <c r="U208">
        <v>5.66</v>
      </c>
      <c r="W208">
        <f t="shared" si="33"/>
        <v>15</v>
      </c>
      <c r="X208">
        <f t="shared" si="34"/>
        <v>37.5</v>
      </c>
      <c r="Y208">
        <f t="shared" si="35"/>
        <v>29.4</v>
      </c>
      <c r="Z208">
        <f t="shared" si="36"/>
        <v>48</v>
      </c>
      <c r="AA208">
        <f t="shared" si="37"/>
        <v>84</v>
      </c>
      <c r="AB208">
        <f t="shared" si="38"/>
        <v>67</v>
      </c>
      <c r="AC208" t="str">
        <f t="shared" si="39"/>
        <v>N</v>
      </c>
      <c r="AD208" t="str">
        <f t="shared" si="40"/>
        <v>W</v>
      </c>
      <c r="AE208">
        <f t="shared" si="41"/>
        <v>2</v>
      </c>
    </row>
    <row r="209" spans="1:31" x14ac:dyDescent="0.25">
      <c r="A209">
        <v>4.7</v>
      </c>
      <c r="B209">
        <v>18.5</v>
      </c>
      <c r="C209">
        <v>3.8</v>
      </c>
      <c r="D209">
        <v>2</v>
      </c>
      <c r="E209">
        <v>5.0999999999999996</v>
      </c>
      <c r="F209">
        <v>22</v>
      </c>
      <c r="G209" t="s">
        <v>33</v>
      </c>
      <c r="H209" t="s">
        <v>23</v>
      </c>
      <c r="I209">
        <v>6</v>
      </c>
      <c r="J209">
        <v>6</v>
      </c>
      <c r="K209">
        <v>99</v>
      </c>
      <c r="L209">
        <v>50</v>
      </c>
      <c r="M209">
        <v>1026.5999999999999</v>
      </c>
      <c r="N209">
        <v>1023.1</v>
      </c>
      <c r="O209">
        <v>7</v>
      </c>
      <c r="P209">
        <v>17.899999999999999</v>
      </c>
      <c r="Q209" t="s">
        <v>20</v>
      </c>
      <c r="S209">
        <v>19</v>
      </c>
      <c r="T209">
        <v>32.040599245332473</v>
      </c>
      <c r="U209">
        <v>5.66</v>
      </c>
      <c r="W209">
        <f t="shared" si="33"/>
        <v>6</v>
      </c>
      <c r="X209">
        <f t="shared" si="34"/>
        <v>40.25</v>
      </c>
      <c r="Y209">
        <f t="shared" si="35"/>
        <v>17.100000000000001</v>
      </c>
      <c r="Z209">
        <f t="shared" si="36"/>
        <v>50</v>
      </c>
      <c r="AA209">
        <f t="shared" si="37"/>
        <v>140</v>
      </c>
      <c r="AB209">
        <f t="shared" si="38"/>
        <v>14</v>
      </c>
      <c r="AC209" t="str">
        <f t="shared" si="39"/>
        <v>Y</v>
      </c>
      <c r="AD209" t="str">
        <f t="shared" si="40"/>
        <v>W</v>
      </c>
      <c r="AE209">
        <f t="shared" si="41"/>
        <v>3</v>
      </c>
    </row>
    <row r="210" spans="1:31" x14ac:dyDescent="0.25">
      <c r="A210">
        <v>4.9000000000000004</v>
      </c>
      <c r="B210">
        <v>18.100000000000001</v>
      </c>
      <c r="C210">
        <v>5.2</v>
      </c>
      <c r="D210">
        <v>1.2</v>
      </c>
      <c r="E210">
        <v>8.5</v>
      </c>
      <c r="F210">
        <v>22</v>
      </c>
      <c r="G210" t="s">
        <v>35</v>
      </c>
      <c r="H210" t="s">
        <v>17</v>
      </c>
      <c r="I210">
        <v>0</v>
      </c>
      <c r="J210">
        <v>13</v>
      </c>
      <c r="K210">
        <v>93</v>
      </c>
      <c r="L210">
        <v>55</v>
      </c>
      <c r="M210">
        <v>1025.7</v>
      </c>
      <c r="N210">
        <v>1022.3</v>
      </c>
      <c r="O210">
        <v>1</v>
      </c>
      <c r="P210">
        <v>17.7</v>
      </c>
      <c r="Q210" t="s">
        <v>20</v>
      </c>
      <c r="S210">
        <v>18</v>
      </c>
      <c r="T210">
        <v>32.026551484666598</v>
      </c>
      <c r="U210">
        <v>5.66</v>
      </c>
      <c r="W210">
        <f t="shared" si="33"/>
        <v>13</v>
      </c>
      <c r="X210">
        <f t="shared" si="34"/>
        <v>40.25</v>
      </c>
      <c r="Y210">
        <f t="shared" si="35"/>
        <v>21.5</v>
      </c>
      <c r="Z210">
        <f t="shared" si="36"/>
        <v>55</v>
      </c>
      <c r="AA210">
        <f t="shared" si="37"/>
        <v>140</v>
      </c>
      <c r="AB210">
        <f t="shared" si="38"/>
        <v>14</v>
      </c>
      <c r="AC210" t="str">
        <f t="shared" si="39"/>
        <v>Y</v>
      </c>
      <c r="AD210" t="str">
        <f t="shared" si="40"/>
        <v>W</v>
      </c>
      <c r="AE210">
        <f t="shared" si="41"/>
        <v>2</v>
      </c>
    </row>
    <row r="211" spans="1:31" x14ac:dyDescent="0.25">
      <c r="A211">
        <v>1.4</v>
      </c>
      <c r="B211">
        <v>16.8</v>
      </c>
      <c r="C211">
        <v>0</v>
      </c>
      <c r="D211">
        <v>1.6</v>
      </c>
      <c r="E211">
        <v>8.1999999999999993</v>
      </c>
      <c r="F211">
        <v>20</v>
      </c>
      <c r="G211" t="s">
        <v>35</v>
      </c>
      <c r="H211" t="s">
        <v>17</v>
      </c>
      <c r="I211">
        <v>0</v>
      </c>
      <c r="J211">
        <v>6</v>
      </c>
      <c r="K211">
        <v>91</v>
      </c>
      <c r="L211">
        <v>50</v>
      </c>
      <c r="M211">
        <v>1027.2</v>
      </c>
      <c r="N211">
        <v>1024.7</v>
      </c>
      <c r="O211">
        <v>1</v>
      </c>
      <c r="P211">
        <v>16.3</v>
      </c>
      <c r="Q211" t="s">
        <v>19</v>
      </c>
      <c r="S211">
        <v>17</v>
      </c>
      <c r="T211">
        <v>32.049960998416211</v>
      </c>
      <c r="U211">
        <v>5.66</v>
      </c>
      <c r="W211">
        <f t="shared" si="33"/>
        <v>6</v>
      </c>
      <c r="X211">
        <f t="shared" si="34"/>
        <v>36.75</v>
      </c>
      <c r="Y211">
        <f t="shared" si="35"/>
        <v>14.2</v>
      </c>
      <c r="Z211">
        <f t="shared" si="36"/>
        <v>50</v>
      </c>
      <c r="AA211">
        <f t="shared" si="37"/>
        <v>143</v>
      </c>
      <c r="AB211">
        <f t="shared" si="38"/>
        <v>8</v>
      </c>
      <c r="AC211" t="str">
        <f t="shared" si="39"/>
        <v>N</v>
      </c>
      <c r="AD211" t="str">
        <f t="shared" si="40"/>
        <v>W</v>
      </c>
      <c r="AE211">
        <f t="shared" si="41"/>
        <v>2</v>
      </c>
    </row>
    <row r="212" spans="1:31" x14ac:dyDescent="0.25">
      <c r="A212">
        <v>2.2000000000000002</v>
      </c>
      <c r="B212">
        <v>17.5</v>
      </c>
      <c r="C212">
        <v>0.2</v>
      </c>
      <c r="D212">
        <v>1.2</v>
      </c>
      <c r="E212">
        <v>8.5</v>
      </c>
      <c r="F212">
        <v>20</v>
      </c>
      <c r="G212" t="s">
        <v>27</v>
      </c>
      <c r="H212" t="s">
        <v>26</v>
      </c>
      <c r="I212">
        <v>7</v>
      </c>
      <c r="J212">
        <v>7</v>
      </c>
      <c r="K212">
        <v>92</v>
      </c>
      <c r="L212">
        <v>45</v>
      </c>
      <c r="M212">
        <v>1032.0999999999999</v>
      </c>
      <c r="N212">
        <v>1029.5999999999999</v>
      </c>
      <c r="O212">
        <v>2</v>
      </c>
      <c r="P212">
        <v>17.3</v>
      </c>
      <c r="Q212" t="s">
        <v>19</v>
      </c>
      <c r="S212">
        <v>18</v>
      </c>
      <c r="T212">
        <v>32.126313202731495</v>
      </c>
      <c r="U212">
        <v>5.67</v>
      </c>
      <c r="W212">
        <f t="shared" si="33"/>
        <v>7</v>
      </c>
      <c r="X212">
        <f t="shared" si="34"/>
        <v>37.75</v>
      </c>
      <c r="Y212">
        <f t="shared" si="35"/>
        <v>22.5</v>
      </c>
      <c r="Z212">
        <f t="shared" si="36"/>
        <v>45</v>
      </c>
      <c r="AA212">
        <f t="shared" si="37"/>
        <v>143</v>
      </c>
      <c r="AB212">
        <f t="shared" si="38"/>
        <v>8</v>
      </c>
      <c r="AC212" t="str">
        <f t="shared" si="39"/>
        <v>N</v>
      </c>
      <c r="AD212" t="str">
        <f t="shared" si="40"/>
        <v>W</v>
      </c>
      <c r="AE212">
        <f t="shared" si="41"/>
        <v>3</v>
      </c>
    </row>
    <row r="213" spans="1:31" x14ac:dyDescent="0.25">
      <c r="A213">
        <v>-0.1</v>
      </c>
      <c r="B213">
        <v>18</v>
      </c>
      <c r="C213">
        <v>0</v>
      </c>
      <c r="D213">
        <v>2</v>
      </c>
      <c r="E213">
        <v>8.6</v>
      </c>
      <c r="F213" t="s">
        <v>35</v>
      </c>
      <c r="G213" t="s">
        <v>24</v>
      </c>
      <c r="H213" t="s">
        <v>33</v>
      </c>
      <c r="I213">
        <v>2</v>
      </c>
      <c r="J213">
        <v>15</v>
      </c>
      <c r="K213">
        <v>83</v>
      </c>
      <c r="L213">
        <v>46</v>
      </c>
      <c r="M213">
        <v>1033.2</v>
      </c>
      <c r="N213">
        <v>1028.7</v>
      </c>
      <c r="O213">
        <v>1</v>
      </c>
      <c r="P213">
        <v>17.399999999999999</v>
      </c>
      <c r="Q213" t="s">
        <v>19</v>
      </c>
      <c r="S213">
        <v>18</v>
      </c>
      <c r="T213">
        <v>32.1434285663493</v>
      </c>
      <c r="U213">
        <v>5.67</v>
      </c>
      <c r="W213">
        <f t="shared" si="33"/>
        <v>15</v>
      </c>
      <c r="X213">
        <f t="shared" si="34"/>
        <v>36.5</v>
      </c>
      <c r="Y213">
        <f t="shared" si="35"/>
        <v>25.6</v>
      </c>
      <c r="Z213">
        <f t="shared" si="36"/>
        <v>46</v>
      </c>
      <c r="AA213" t="e">
        <f t="shared" si="37"/>
        <v>#VALUE!</v>
      </c>
      <c r="AB213" t="e">
        <f t="shared" si="38"/>
        <v>#VALUE!</v>
      </c>
      <c r="AC213" t="str">
        <f t="shared" si="39"/>
        <v>N</v>
      </c>
      <c r="AD213" t="str">
        <f t="shared" si="40"/>
        <v>W</v>
      </c>
      <c r="AE213">
        <f t="shared" si="41"/>
        <v>1</v>
      </c>
    </row>
    <row r="214" spans="1:31" x14ac:dyDescent="0.25">
      <c r="A214">
        <v>-0.9</v>
      </c>
      <c r="B214">
        <v>18.5</v>
      </c>
      <c r="C214">
        <v>0</v>
      </c>
      <c r="D214">
        <v>2.2000000000000002</v>
      </c>
      <c r="E214">
        <v>8.9</v>
      </c>
      <c r="F214">
        <v>22</v>
      </c>
      <c r="G214" t="s">
        <v>35</v>
      </c>
      <c r="H214" t="s">
        <v>24</v>
      </c>
      <c r="I214">
        <v>0</v>
      </c>
      <c r="J214">
        <v>7</v>
      </c>
      <c r="K214">
        <v>84</v>
      </c>
      <c r="L214">
        <v>38</v>
      </c>
      <c r="M214">
        <v>1030.2</v>
      </c>
      <c r="N214">
        <v>1027.4000000000001</v>
      </c>
      <c r="O214">
        <v>2</v>
      </c>
      <c r="P214">
        <v>18.2</v>
      </c>
      <c r="Q214" t="s">
        <v>19</v>
      </c>
      <c r="S214">
        <v>19</v>
      </c>
      <c r="T214">
        <v>32.096728805284819</v>
      </c>
      <c r="U214">
        <v>5.67</v>
      </c>
      <c r="W214">
        <f t="shared" si="33"/>
        <v>7</v>
      </c>
      <c r="X214">
        <f t="shared" si="34"/>
        <v>32.25</v>
      </c>
      <c r="Y214">
        <f t="shared" si="35"/>
        <v>15.9</v>
      </c>
      <c r="Z214">
        <f t="shared" si="36"/>
        <v>38</v>
      </c>
      <c r="AA214">
        <f t="shared" si="37"/>
        <v>140</v>
      </c>
      <c r="AB214">
        <f t="shared" si="38"/>
        <v>12</v>
      </c>
      <c r="AC214" t="str">
        <f t="shared" si="39"/>
        <v>N</v>
      </c>
      <c r="AD214" t="str">
        <f t="shared" si="40"/>
        <v>N</v>
      </c>
      <c r="AE214">
        <f t="shared" si="41"/>
        <v>2</v>
      </c>
    </row>
    <row r="215" spans="1:31" x14ac:dyDescent="0.25">
      <c r="A215">
        <v>0.6</v>
      </c>
      <c r="B215">
        <v>14</v>
      </c>
      <c r="C215">
        <v>0</v>
      </c>
      <c r="D215">
        <v>2.2000000000000002</v>
      </c>
      <c r="E215">
        <v>2.7</v>
      </c>
      <c r="F215">
        <v>17</v>
      </c>
      <c r="G215" t="s">
        <v>35</v>
      </c>
      <c r="H215" t="s">
        <v>21</v>
      </c>
      <c r="I215" t="s">
        <v>35</v>
      </c>
      <c r="J215">
        <v>7</v>
      </c>
      <c r="K215">
        <v>99</v>
      </c>
      <c r="L215">
        <v>67</v>
      </c>
      <c r="M215">
        <v>1032.3</v>
      </c>
      <c r="N215">
        <v>1028.9000000000001</v>
      </c>
      <c r="O215">
        <v>7</v>
      </c>
      <c r="P215">
        <v>13.9</v>
      </c>
      <c r="Q215" t="s">
        <v>19</v>
      </c>
      <c r="S215">
        <v>14</v>
      </c>
      <c r="T215">
        <v>32.129425765176691</v>
      </c>
      <c r="U215">
        <v>5.67</v>
      </c>
      <c r="W215">
        <f t="shared" si="33"/>
        <v>7</v>
      </c>
      <c r="X215">
        <f t="shared" si="34"/>
        <v>57.666666666666664</v>
      </c>
      <c r="Y215">
        <f t="shared" si="35"/>
        <v>9.6999999999999993</v>
      </c>
      <c r="Z215">
        <f t="shared" si="36"/>
        <v>67</v>
      </c>
      <c r="AA215">
        <f t="shared" si="37"/>
        <v>146</v>
      </c>
      <c r="AB215">
        <f t="shared" si="38"/>
        <v>5</v>
      </c>
      <c r="AC215" t="str">
        <f t="shared" si="39"/>
        <v>N</v>
      </c>
      <c r="AD215" t="str">
        <f t="shared" si="40"/>
        <v>E</v>
      </c>
      <c r="AE215">
        <f t="shared" si="41"/>
        <v>2</v>
      </c>
    </row>
    <row r="216" spans="1:31" x14ac:dyDescent="0.25">
      <c r="A216">
        <v>4.5999999999999996</v>
      </c>
      <c r="B216">
        <v>15.7</v>
      </c>
      <c r="C216">
        <v>0</v>
      </c>
      <c r="D216">
        <v>1</v>
      </c>
      <c r="E216">
        <v>0.6</v>
      </c>
      <c r="F216">
        <v>15</v>
      </c>
      <c r="G216" t="s">
        <v>27</v>
      </c>
      <c r="H216" t="s">
        <v>25</v>
      </c>
      <c r="I216">
        <v>6</v>
      </c>
      <c r="J216">
        <v>6</v>
      </c>
      <c r="K216">
        <v>85</v>
      </c>
      <c r="L216">
        <v>67</v>
      </c>
      <c r="M216">
        <v>1030.3</v>
      </c>
      <c r="N216">
        <v>1027.0999999999999</v>
      </c>
      <c r="O216">
        <v>7</v>
      </c>
      <c r="P216">
        <v>15.5</v>
      </c>
      <c r="Q216" t="s">
        <v>19</v>
      </c>
      <c r="S216">
        <v>16</v>
      </c>
      <c r="T216">
        <v>32.098286558631131</v>
      </c>
      <c r="U216">
        <v>5.67</v>
      </c>
      <c r="W216">
        <f t="shared" si="33"/>
        <v>6</v>
      </c>
      <c r="X216">
        <f t="shared" si="34"/>
        <v>41</v>
      </c>
      <c r="Y216">
        <f t="shared" si="35"/>
        <v>12.6</v>
      </c>
      <c r="Z216">
        <f t="shared" si="36"/>
        <v>67</v>
      </c>
      <c r="AA216">
        <f t="shared" si="37"/>
        <v>148</v>
      </c>
      <c r="AB216">
        <f t="shared" si="38"/>
        <v>3</v>
      </c>
      <c r="AC216" t="str">
        <f t="shared" si="39"/>
        <v>N</v>
      </c>
      <c r="AD216" t="str">
        <f t="shared" si="40"/>
        <v>E</v>
      </c>
      <c r="AE216">
        <f t="shared" si="41"/>
        <v>3</v>
      </c>
    </row>
    <row r="217" spans="1:31" x14ac:dyDescent="0.25">
      <c r="A217">
        <v>9.8000000000000007</v>
      </c>
      <c r="B217">
        <v>14.4</v>
      </c>
      <c r="C217">
        <v>0.8</v>
      </c>
      <c r="D217">
        <v>0.6</v>
      </c>
      <c r="E217">
        <v>0</v>
      </c>
      <c r="F217">
        <v>20</v>
      </c>
      <c r="G217" t="s">
        <v>30</v>
      </c>
      <c r="H217" t="s">
        <v>28</v>
      </c>
      <c r="I217">
        <v>9</v>
      </c>
      <c r="J217">
        <v>11</v>
      </c>
      <c r="K217">
        <v>99</v>
      </c>
      <c r="L217">
        <v>86</v>
      </c>
      <c r="M217">
        <v>1028.5</v>
      </c>
      <c r="N217">
        <v>1027.2</v>
      </c>
      <c r="O217">
        <v>8</v>
      </c>
      <c r="P217">
        <v>13.6</v>
      </c>
      <c r="Q217" t="s">
        <v>19</v>
      </c>
      <c r="S217">
        <v>14</v>
      </c>
      <c r="T217">
        <v>32.070235421649151</v>
      </c>
      <c r="U217">
        <v>5.66</v>
      </c>
      <c r="W217">
        <f t="shared" si="33"/>
        <v>11</v>
      </c>
      <c r="X217">
        <f t="shared" si="34"/>
        <v>51.25</v>
      </c>
      <c r="Y217">
        <f t="shared" si="35"/>
        <v>20</v>
      </c>
      <c r="Z217">
        <f t="shared" si="36"/>
        <v>86</v>
      </c>
      <c r="AA217">
        <f t="shared" si="37"/>
        <v>142</v>
      </c>
      <c r="AB217">
        <f t="shared" si="38"/>
        <v>6</v>
      </c>
      <c r="AC217" t="str">
        <f t="shared" si="39"/>
        <v>N</v>
      </c>
      <c r="AD217" t="str">
        <f t="shared" si="40"/>
        <v>E</v>
      </c>
      <c r="AE217">
        <f t="shared" si="41"/>
        <v>1</v>
      </c>
    </row>
    <row r="218" spans="1:31" x14ac:dyDescent="0.25">
      <c r="A218">
        <v>10.6</v>
      </c>
      <c r="B218">
        <v>15.1</v>
      </c>
      <c r="C218">
        <v>3.8</v>
      </c>
      <c r="D218">
        <v>0.2</v>
      </c>
      <c r="E218">
        <v>2.6</v>
      </c>
      <c r="F218">
        <v>41</v>
      </c>
      <c r="G218" t="s">
        <v>29</v>
      </c>
      <c r="H218" t="s">
        <v>29</v>
      </c>
      <c r="I218">
        <v>9</v>
      </c>
      <c r="J218">
        <v>20</v>
      </c>
      <c r="K218">
        <v>78</v>
      </c>
      <c r="L218">
        <v>65</v>
      </c>
      <c r="M218">
        <v>1028.2</v>
      </c>
      <c r="N218">
        <v>1025.7</v>
      </c>
      <c r="O218">
        <v>8</v>
      </c>
      <c r="P218">
        <v>13.3</v>
      </c>
      <c r="Q218" t="s">
        <v>20</v>
      </c>
      <c r="S218">
        <v>15</v>
      </c>
      <c r="T218">
        <v>32.065557846387144</v>
      </c>
      <c r="U218">
        <v>5.66</v>
      </c>
      <c r="W218">
        <f t="shared" si="33"/>
        <v>20</v>
      </c>
      <c r="X218">
        <f t="shared" si="34"/>
        <v>43</v>
      </c>
      <c r="Y218">
        <f t="shared" si="35"/>
        <v>31.6</v>
      </c>
      <c r="Z218">
        <f t="shared" si="36"/>
        <v>65</v>
      </c>
      <c r="AA218">
        <f t="shared" si="37"/>
        <v>72</v>
      </c>
      <c r="AB218">
        <f t="shared" si="38"/>
        <v>67</v>
      </c>
      <c r="AC218" t="str">
        <f t="shared" si="39"/>
        <v>Y</v>
      </c>
      <c r="AD218" t="str">
        <f t="shared" si="40"/>
        <v>E</v>
      </c>
      <c r="AE218">
        <f t="shared" si="41"/>
        <v>2</v>
      </c>
    </row>
    <row r="219" spans="1:31" x14ac:dyDescent="0.25">
      <c r="A219">
        <v>7.8</v>
      </c>
      <c r="B219">
        <v>15.1</v>
      </c>
      <c r="C219">
        <v>0</v>
      </c>
      <c r="D219">
        <v>2.2000000000000002</v>
      </c>
      <c r="E219">
        <v>2.7</v>
      </c>
      <c r="F219">
        <v>31</v>
      </c>
      <c r="G219" t="s">
        <v>27</v>
      </c>
      <c r="H219" t="s">
        <v>30</v>
      </c>
      <c r="I219">
        <v>6</v>
      </c>
      <c r="J219">
        <v>20</v>
      </c>
      <c r="K219">
        <v>84</v>
      </c>
      <c r="L219">
        <v>65</v>
      </c>
      <c r="M219">
        <v>1025.9000000000001</v>
      </c>
      <c r="N219">
        <v>1023.4</v>
      </c>
      <c r="O219">
        <v>6</v>
      </c>
      <c r="P219">
        <v>14.8</v>
      </c>
      <c r="Q219" t="s">
        <v>19</v>
      </c>
      <c r="S219">
        <v>15</v>
      </c>
      <c r="T219">
        <v>32.029673741703959</v>
      </c>
      <c r="U219">
        <v>5.66</v>
      </c>
      <c r="W219">
        <f t="shared" si="33"/>
        <v>20</v>
      </c>
      <c r="X219">
        <f t="shared" si="34"/>
        <v>43.75</v>
      </c>
      <c r="Y219">
        <f t="shared" si="35"/>
        <v>28.7</v>
      </c>
      <c r="Z219">
        <f t="shared" si="36"/>
        <v>65</v>
      </c>
      <c r="AA219">
        <f t="shared" si="37"/>
        <v>104</v>
      </c>
      <c r="AB219">
        <f t="shared" si="38"/>
        <v>30</v>
      </c>
      <c r="AC219" t="str">
        <f t="shared" si="39"/>
        <v>N</v>
      </c>
      <c r="AD219" t="str">
        <f t="shared" si="40"/>
        <v>S</v>
      </c>
      <c r="AE219">
        <f t="shared" si="41"/>
        <v>3</v>
      </c>
    </row>
    <row r="220" spans="1:31" x14ac:dyDescent="0.25">
      <c r="A220">
        <v>4.4000000000000004</v>
      </c>
      <c r="B220">
        <v>16.7</v>
      </c>
      <c r="C220">
        <v>0</v>
      </c>
      <c r="D220">
        <v>1.6</v>
      </c>
      <c r="E220">
        <v>9</v>
      </c>
      <c r="F220">
        <v>22</v>
      </c>
      <c r="G220" t="s">
        <v>29</v>
      </c>
      <c r="H220" t="s">
        <v>25</v>
      </c>
      <c r="I220">
        <v>11</v>
      </c>
      <c r="J220">
        <v>4</v>
      </c>
      <c r="K220">
        <v>74</v>
      </c>
      <c r="L220">
        <v>42</v>
      </c>
      <c r="M220">
        <v>1025.2</v>
      </c>
      <c r="N220">
        <v>1022.1</v>
      </c>
      <c r="O220">
        <v>1</v>
      </c>
      <c r="P220">
        <v>16.2</v>
      </c>
      <c r="Q220" t="s">
        <v>19</v>
      </c>
      <c r="S220">
        <v>17</v>
      </c>
      <c r="T220">
        <v>32.018744510052237</v>
      </c>
      <c r="U220">
        <v>5.66</v>
      </c>
      <c r="W220">
        <f t="shared" si="33"/>
        <v>11</v>
      </c>
      <c r="X220">
        <f t="shared" si="34"/>
        <v>32.75</v>
      </c>
      <c r="Y220">
        <f t="shared" si="35"/>
        <v>24</v>
      </c>
      <c r="Z220">
        <f t="shared" si="36"/>
        <v>42</v>
      </c>
      <c r="AA220">
        <f t="shared" si="37"/>
        <v>138</v>
      </c>
      <c r="AB220">
        <f t="shared" si="38"/>
        <v>9</v>
      </c>
      <c r="AC220" t="str">
        <f t="shared" si="39"/>
        <v>N</v>
      </c>
      <c r="AD220" t="str">
        <f t="shared" si="40"/>
        <v>E</v>
      </c>
      <c r="AE220">
        <f t="shared" si="41"/>
        <v>2</v>
      </c>
    </row>
    <row r="221" spans="1:31" x14ac:dyDescent="0.25">
      <c r="A221">
        <v>-0.2</v>
      </c>
      <c r="B221">
        <v>15.5</v>
      </c>
      <c r="C221">
        <v>0</v>
      </c>
      <c r="D221">
        <v>1.4</v>
      </c>
      <c r="E221">
        <v>9</v>
      </c>
      <c r="F221">
        <v>28</v>
      </c>
      <c r="G221" t="s">
        <v>24</v>
      </c>
      <c r="H221" t="s">
        <v>28</v>
      </c>
      <c r="I221">
        <v>4</v>
      </c>
      <c r="J221">
        <v>11</v>
      </c>
      <c r="K221">
        <v>86</v>
      </c>
      <c r="L221">
        <v>42</v>
      </c>
      <c r="M221">
        <v>1027.5999999999999</v>
      </c>
      <c r="N221">
        <v>1027</v>
      </c>
      <c r="O221">
        <v>1</v>
      </c>
      <c r="P221">
        <v>14.5</v>
      </c>
      <c r="Q221" t="s">
        <v>19</v>
      </c>
      <c r="S221">
        <v>16</v>
      </c>
      <c r="T221">
        <v>32.056200648236526</v>
      </c>
      <c r="U221">
        <v>5.66</v>
      </c>
      <c r="W221">
        <f t="shared" si="33"/>
        <v>11</v>
      </c>
      <c r="X221">
        <f t="shared" si="34"/>
        <v>35.75</v>
      </c>
      <c r="Y221">
        <f t="shared" si="35"/>
        <v>24</v>
      </c>
      <c r="Z221">
        <f t="shared" si="36"/>
        <v>42</v>
      </c>
      <c r="AA221">
        <f t="shared" si="37"/>
        <v>127</v>
      </c>
      <c r="AB221">
        <f t="shared" si="38"/>
        <v>15</v>
      </c>
      <c r="AC221" t="str">
        <f t="shared" si="39"/>
        <v>N</v>
      </c>
      <c r="AD221" t="str">
        <f t="shared" si="40"/>
        <v>E</v>
      </c>
      <c r="AE221">
        <f t="shared" si="41"/>
        <v>1</v>
      </c>
    </row>
    <row r="222" spans="1:31" x14ac:dyDescent="0.25">
      <c r="A222">
        <v>4.3</v>
      </c>
      <c r="B222">
        <v>14.5</v>
      </c>
      <c r="C222">
        <v>0</v>
      </c>
      <c r="D222">
        <v>2</v>
      </c>
      <c r="E222">
        <v>3</v>
      </c>
      <c r="F222">
        <v>30</v>
      </c>
      <c r="G222" t="s">
        <v>27</v>
      </c>
      <c r="H222" t="s">
        <v>21</v>
      </c>
      <c r="I222">
        <v>6</v>
      </c>
      <c r="J222">
        <v>13</v>
      </c>
      <c r="K222">
        <v>76</v>
      </c>
      <c r="L222">
        <v>70</v>
      </c>
      <c r="M222">
        <v>1034.3</v>
      </c>
      <c r="N222">
        <v>1031.7</v>
      </c>
      <c r="O222">
        <v>7</v>
      </c>
      <c r="P222">
        <v>13</v>
      </c>
      <c r="Q222" t="s">
        <v>19</v>
      </c>
      <c r="S222">
        <v>15</v>
      </c>
      <c r="T222">
        <v>32.160534821423603</v>
      </c>
      <c r="U222">
        <v>5.67</v>
      </c>
      <c r="W222">
        <f t="shared" si="33"/>
        <v>13</v>
      </c>
      <c r="X222">
        <f t="shared" si="34"/>
        <v>41.25</v>
      </c>
      <c r="Y222">
        <f t="shared" si="35"/>
        <v>22</v>
      </c>
      <c r="Z222">
        <f t="shared" si="36"/>
        <v>70</v>
      </c>
      <c r="AA222">
        <f t="shared" si="37"/>
        <v>119</v>
      </c>
      <c r="AB222">
        <f t="shared" si="38"/>
        <v>20</v>
      </c>
      <c r="AC222" t="str">
        <f t="shared" si="39"/>
        <v>N</v>
      </c>
      <c r="AD222" t="str">
        <f t="shared" si="40"/>
        <v>E</v>
      </c>
      <c r="AE222">
        <f t="shared" si="41"/>
        <v>3</v>
      </c>
    </row>
    <row r="223" spans="1:31" x14ac:dyDescent="0.25">
      <c r="A223">
        <v>7.4</v>
      </c>
      <c r="B223">
        <v>16.3</v>
      </c>
      <c r="C223">
        <v>0</v>
      </c>
      <c r="D223">
        <v>1.2</v>
      </c>
      <c r="E223" t="s">
        <v>35</v>
      </c>
      <c r="F223">
        <v>30</v>
      </c>
      <c r="G223" t="s">
        <v>27</v>
      </c>
      <c r="H223" t="s">
        <v>32</v>
      </c>
      <c r="I223">
        <v>6</v>
      </c>
      <c r="J223">
        <v>19</v>
      </c>
      <c r="K223">
        <v>75</v>
      </c>
      <c r="L223">
        <v>65</v>
      </c>
      <c r="M223">
        <v>1031.4000000000001</v>
      </c>
      <c r="N223">
        <v>1027.9000000000001</v>
      </c>
      <c r="O223">
        <v>7</v>
      </c>
      <c r="P223">
        <v>14.5</v>
      </c>
      <c r="Q223" t="s">
        <v>19</v>
      </c>
      <c r="S223">
        <v>16</v>
      </c>
      <c r="T223">
        <v>32.115416858574328</v>
      </c>
      <c r="U223">
        <v>5.67</v>
      </c>
      <c r="W223">
        <f t="shared" si="33"/>
        <v>19</v>
      </c>
      <c r="X223">
        <f t="shared" si="34"/>
        <v>41.25</v>
      </c>
      <c r="Y223">
        <f t="shared" si="35"/>
        <v>25</v>
      </c>
      <c r="Z223">
        <f t="shared" si="36"/>
        <v>65</v>
      </c>
      <c r="AA223">
        <f t="shared" si="37"/>
        <v>119</v>
      </c>
      <c r="AB223">
        <f t="shared" si="38"/>
        <v>20</v>
      </c>
      <c r="AC223" t="str">
        <f t="shared" si="39"/>
        <v>N</v>
      </c>
      <c r="AD223" t="str">
        <f t="shared" si="40"/>
        <v>E</v>
      </c>
      <c r="AE223">
        <f t="shared" si="41"/>
        <v>3</v>
      </c>
    </row>
    <row r="224" spans="1:31" x14ac:dyDescent="0.25">
      <c r="A224">
        <v>8.6</v>
      </c>
      <c r="B224">
        <v>13.7</v>
      </c>
      <c r="C224">
        <v>6.2</v>
      </c>
      <c r="D224">
        <v>2.2000000000000002</v>
      </c>
      <c r="E224">
        <v>0</v>
      </c>
      <c r="F224">
        <v>31</v>
      </c>
      <c r="G224" t="s">
        <v>22</v>
      </c>
      <c r="H224" t="s">
        <v>35</v>
      </c>
      <c r="I224">
        <v>2</v>
      </c>
      <c r="J224">
        <v>0</v>
      </c>
      <c r="K224">
        <v>97</v>
      </c>
      <c r="L224">
        <v>94</v>
      </c>
      <c r="M224">
        <v>1027.8</v>
      </c>
      <c r="N224">
        <v>1024.3</v>
      </c>
      <c r="O224">
        <v>8</v>
      </c>
      <c r="P224">
        <v>11.6</v>
      </c>
      <c r="Q224" t="s">
        <v>20</v>
      </c>
      <c r="S224">
        <v>14</v>
      </c>
      <c r="T224">
        <v>32.05932001774211</v>
      </c>
      <c r="U224">
        <v>5.66</v>
      </c>
      <c r="W224">
        <f t="shared" si="33"/>
        <v>2</v>
      </c>
      <c r="X224">
        <f t="shared" si="34"/>
        <v>48.25</v>
      </c>
      <c r="Y224">
        <f t="shared" si="35"/>
        <v>2</v>
      </c>
      <c r="Z224">
        <f t="shared" si="36"/>
        <v>94</v>
      </c>
      <c r="AA224">
        <f t="shared" si="37"/>
        <v>104</v>
      </c>
      <c r="AB224">
        <f t="shared" si="38"/>
        <v>26</v>
      </c>
      <c r="AC224" t="str">
        <f t="shared" si="39"/>
        <v>Y</v>
      </c>
      <c r="AD224" t="str">
        <f t="shared" si="40"/>
        <v>A</v>
      </c>
      <c r="AE224">
        <f t="shared" si="41"/>
        <v>1</v>
      </c>
    </row>
    <row r="225" spans="1:31" x14ac:dyDescent="0.25">
      <c r="A225">
        <v>10.199999999999999</v>
      </c>
      <c r="B225">
        <v>15</v>
      </c>
      <c r="C225">
        <v>4.8</v>
      </c>
      <c r="D225">
        <v>0.2</v>
      </c>
      <c r="E225">
        <v>0.5</v>
      </c>
      <c r="F225">
        <v>46</v>
      </c>
      <c r="G225" t="s">
        <v>33</v>
      </c>
      <c r="H225" t="s">
        <v>17</v>
      </c>
      <c r="I225">
        <v>22</v>
      </c>
      <c r="J225">
        <v>17</v>
      </c>
      <c r="K225">
        <v>90</v>
      </c>
      <c r="L225">
        <v>65</v>
      </c>
      <c r="M225">
        <v>1022.9</v>
      </c>
      <c r="N225">
        <v>1022.1</v>
      </c>
      <c r="O225">
        <v>7</v>
      </c>
      <c r="P225">
        <v>13.7</v>
      </c>
      <c r="Q225" t="s">
        <v>20</v>
      </c>
      <c r="S225">
        <v>15</v>
      </c>
      <c r="T225">
        <v>31.982807881735461</v>
      </c>
      <c r="U225">
        <v>5.66</v>
      </c>
      <c r="W225">
        <f t="shared" si="33"/>
        <v>22</v>
      </c>
      <c r="X225">
        <f t="shared" si="34"/>
        <v>48.5</v>
      </c>
      <c r="Y225">
        <f t="shared" si="35"/>
        <v>39.5</v>
      </c>
      <c r="Z225">
        <f t="shared" si="36"/>
        <v>65</v>
      </c>
      <c r="AA225">
        <f t="shared" si="37"/>
        <v>46</v>
      </c>
      <c r="AB225">
        <f t="shared" si="38"/>
        <v>87</v>
      </c>
      <c r="AC225" t="str">
        <f t="shared" si="39"/>
        <v>Y</v>
      </c>
      <c r="AD225" t="str">
        <f t="shared" si="40"/>
        <v>W</v>
      </c>
      <c r="AE225">
        <f t="shared" si="41"/>
        <v>3</v>
      </c>
    </row>
    <row r="226" spans="1:31" x14ac:dyDescent="0.25">
      <c r="A226">
        <v>7.3</v>
      </c>
      <c r="B226">
        <v>16.399999999999999</v>
      </c>
      <c r="C226">
        <v>0.2</v>
      </c>
      <c r="D226">
        <v>1.2</v>
      </c>
      <c r="E226">
        <v>8.5</v>
      </c>
      <c r="F226">
        <v>43</v>
      </c>
      <c r="G226" t="s">
        <v>24</v>
      </c>
      <c r="H226" t="s">
        <v>26</v>
      </c>
      <c r="I226">
        <v>15</v>
      </c>
      <c r="J226">
        <v>24</v>
      </c>
      <c r="K226">
        <v>86</v>
      </c>
      <c r="L226">
        <v>48</v>
      </c>
      <c r="M226">
        <v>1023.7</v>
      </c>
      <c r="N226">
        <v>1019.7</v>
      </c>
      <c r="O226">
        <v>1</v>
      </c>
      <c r="P226">
        <v>14.7</v>
      </c>
      <c r="Q226" t="s">
        <v>19</v>
      </c>
      <c r="S226">
        <v>16</v>
      </c>
      <c r="T226">
        <v>31.995312156626944</v>
      </c>
      <c r="U226">
        <v>5.66</v>
      </c>
      <c r="W226">
        <f t="shared" si="33"/>
        <v>24</v>
      </c>
      <c r="X226">
        <f t="shared" si="34"/>
        <v>43.25</v>
      </c>
      <c r="Y226">
        <f t="shared" si="35"/>
        <v>47.5</v>
      </c>
      <c r="Z226">
        <f t="shared" si="36"/>
        <v>48</v>
      </c>
      <c r="AA226">
        <f t="shared" si="37"/>
        <v>61</v>
      </c>
      <c r="AB226">
        <f t="shared" si="38"/>
        <v>72</v>
      </c>
      <c r="AC226" t="str">
        <f t="shared" si="39"/>
        <v>N</v>
      </c>
      <c r="AD226" t="str">
        <f t="shared" si="40"/>
        <v>W</v>
      </c>
      <c r="AE226">
        <f t="shared" si="41"/>
        <v>1</v>
      </c>
    </row>
    <row r="227" spans="1:31" x14ac:dyDescent="0.25">
      <c r="A227">
        <v>8.6999999999999993</v>
      </c>
      <c r="B227">
        <v>13</v>
      </c>
      <c r="C227">
        <v>0.6</v>
      </c>
      <c r="D227">
        <v>3.2</v>
      </c>
      <c r="E227">
        <v>7.1</v>
      </c>
      <c r="F227">
        <v>54</v>
      </c>
      <c r="G227" t="s">
        <v>23</v>
      </c>
      <c r="H227" t="s">
        <v>26</v>
      </c>
      <c r="I227">
        <v>19</v>
      </c>
      <c r="J227">
        <v>28</v>
      </c>
      <c r="K227">
        <v>82</v>
      </c>
      <c r="L227">
        <v>58</v>
      </c>
      <c r="M227">
        <v>1013.7</v>
      </c>
      <c r="N227">
        <v>1014.1</v>
      </c>
      <c r="O227">
        <v>4</v>
      </c>
      <c r="P227">
        <v>11.1</v>
      </c>
      <c r="Q227" t="s">
        <v>19</v>
      </c>
      <c r="S227">
        <v>13</v>
      </c>
      <c r="T227">
        <v>31.838655750518111</v>
      </c>
      <c r="U227">
        <v>5.64</v>
      </c>
      <c r="W227">
        <f t="shared" si="33"/>
        <v>28</v>
      </c>
      <c r="X227">
        <f t="shared" si="34"/>
        <v>46.75</v>
      </c>
      <c r="Y227">
        <f t="shared" si="35"/>
        <v>54.1</v>
      </c>
      <c r="Z227">
        <f t="shared" si="36"/>
        <v>58</v>
      </c>
      <c r="AA227">
        <f t="shared" si="37"/>
        <v>26</v>
      </c>
      <c r="AB227">
        <f t="shared" si="38"/>
        <v>113</v>
      </c>
      <c r="AC227" t="str">
        <f t="shared" si="39"/>
        <v>N</v>
      </c>
      <c r="AD227" t="str">
        <f t="shared" si="40"/>
        <v>W</v>
      </c>
      <c r="AE227">
        <f t="shared" si="41"/>
        <v>1</v>
      </c>
    </row>
    <row r="228" spans="1:31" x14ac:dyDescent="0.25">
      <c r="A228">
        <v>1</v>
      </c>
      <c r="B228">
        <v>11.8</v>
      </c>
      <c r="C228">
        <v>0</v>
      </c>
      <c r="D228">
        <v>2.2000000000000002</v>
      </c>
      <c r="E228">
        <v>7.2</v>
      </c>
      <c r="F228">
        <v>48</v>
      </c>
      <c r="G228" t="s">
        <v>17</v>
      </c>
      <c r="H228" t="s">
        <v>30</v>
      </c>
      <c r="I228">
        <v>7</v>
      </c>
      <c r="J228">
        <v>24</v>
      </c>
      <c r="K228">
        <v>73</v>
      </c>
      <c r="L228">
        <v>49</v>
      </c>
      <c r="M228">
        <v>1025.7</v>
      </c>
      <c r="N228">
        <v>1025.5999999999999</v>
      </c>
      <c r="O228">
        <v>4</v>
      </c>
      <c r="P228">
        <v>11</v>
      </c>
      <c r="Q228" t="s">
        <v>19</v>
      </c>
      <c r="S228">
        <v>12</v>
      </c>
      <c r="T228">
        <v>32.026551484666598</v>
      </c>
      <c r="U228">
        <v>5.66</v>
      </c>
      <c r="W228">
        <f t="shared" si="33"/>
        <v>24</v>
      </c>
      <c r="X228">
        <f t="shared" si="34"/>
        <v>38.25</v>
      </c>
      <c r="Y228">
        <f t="shared" si="35"/>
        <v>38.200000000000003</v>
      </c>
      <c r="Z228">
        <f t="shared" si="36"/>
        <v>49</v>
      </c>
      <c r="AA228">
        <f t="shared" si="37"/>
        <v>37</v>
      </c>
      <c r="AB228">
        <f t="shared" si="38"/>
        <v>96</v>
      </c>
      <c r="AC228" t="str">
        <f t="shared" si="39"/>
        <v>N</v>
      </c>
      <c r="AD228" t="str">
        <f t="shared" si="40"/>
        <v>S</v>
      </c>
      <c r="AE228">
        <f t="shared" si="41"/>
        <v>2</v>
      </c>
    </row>
    <row r="229" spans="1:31" x14ac:dyDescent="0.25">
      <c r="A229">
        <v>2.1</v>
      </c>
      <c r="B229">
        <v>14.7</v>
      </c>
      <c r="C229">
        <v>0</v>
      </c>
      <c r="D229">
        <v>2.6</v>
      </c>
      <c r="E229">
        <v>8.1999999999999993</v>
      </c>
      <c r="F229">
        <v>43</v>
      </c>
      <c r="G229" t="s">
        <v>30</v>
      </c>
      <c r="H229" t="s">
        <v>34</v>
      </c>
      <c r="I229">
        <v>24</v>
      </c>
      <c r="J229">
        <v>26</v>
      </c>
      <c r="K229">
        <v>72</v>
      </c>
      <c r="L229">
        <v>57</v>
      </c>
      <c r="M229">
        <v>1029</v>
      </c>
      <c r="N229">
        <v>1026.3</v>
      </c>
      <c r="O229">
        <v>1</v>
      </c>
      <c r="P229">
        <v>13.8</v>
      </c>
      <c r="Q229" t="s">
        <v>19</v>
      </c>
      <c r="S229">
        <v>15</v>
      </c>
      <c r="T229">
        <v>32.078029864690883</v>
      </c>
      <c r="U229">
        <v>5.66</v>
      </c>
      <c r="W229">
        <f t="shared" si="33"/>
        <v>26</v>
      </c>
      <c r="X229">
        <f t="shared" si="34"/>
        <v>44.75</v>
      </c>
      <c r="Y229">
        <f t="shared" si="35"/>
        <v>58.2</v>
      </c>
      <c r="Z229">
        <f t="shared" si="36"/>
        <v>57</v>
      </c>
      <c r="AA229">
        <f t="shared" si="37"/>
        <v>59</v>
      </c>
      <c r="AB229">
        <f t="shared" si="38"/>
        <v>72</v>
      </c>
      <c r="AC229" t="str">
        <f t="shared" si="39"/>
        <v>N</v>
      </c>
      <c r="AD229" t="str">
        <f t="shared" si="40"/>
        <v>W</v>
      </c>
      <c r="AE229">
        <f t="shared" si="41"/>
        <v>1</v>
      </c>
    </row>
    <row r="230" spans="1:31" x14ac:dyDescent="0.25">
      <c r="A230">
        <v>6.4</v>
      </c>
      <c r="B230">
        <v>16.899999999999999</v>
      </c>
      <c r="C230">
        <v>0</v>
      </c>
      <c r="D230">
        <v>2.6</v>
      </c>
      <c r="E230">
        <v>5.9</v>
      </c>
      <c r="F230">
        <v>26</v>
      </c>
      <c r="G230" t="s">
        <v>34</v>
      </c>
      <c r="H230" t="s">
        <v>28</v>
      </c>
      <c r="I230">
        <v>17</v>
      </c>
      <c r="J230">
        <v>9</v>
      </c>
      <c r="K230">
        <v>78</v>
      </c>
      <c r="L230">
        <v>51</v>
      </c>
      <c r="M230">
        <v>1027.8</v>
      </c>
      <c r="N230">
        <v>1024.8</v>
      </c>
      <c r="O230">
        <v>7</v>
      </c>
      <c r="P230">
        <v>16</v>
      </c>
      <c r="Q230" t="s">
        <v>19</v>
      </c>
      <c r="S230">
        <v>17</v>
      </c>
      <c r="T230">
        <v>32.05932001774211</v>
      </c>
      <c r="U230">
        <v>5.66</v>
      </c>
      <c r="W230">
        <f t="shared" si="33"/>
        <v>17</v>
      </c>
      <c r="X230">
        <f t="shared" si="34"/>
        <v>38.75</v>
      </c>
      <c r="Y230">
        <f t="shared" si="35"/>
        <v>31.9</v>
      </c>
      <c r="Z230">
        <f t="shared" si="36"/>
        <v>51</v>
      </c>
      <c r="AA230">
        <f t="shared" si="37"/>
        <v>124</v>
      </c>
      <c r="AB230">
        <f t="shared" si="38"/>
        <v>11</v>
      </c>
      <c r="AC230" t="str">
        <f t="shared" si="39"/>
        <v>N</v>
      </c>
      <c r="AD230" t="str">
        <f t="shared" si="40"/>
        <v>E</v>
      </c>
      <c r="AE230">
        <f t="shared" si="41"/>
        <v>3</v>
      </c>
    </row>
    <row r="231" spans="1:31" x14ac:dyDescent="0.25">
      <c r="A231">
        <v>5.4</v>
      </c>
      <c r="B231">
        <v>15.5</v>
      </c>
      <c r="C231">
        <v>0</v>
      </c>
      <c r="D231">
        <v>1.6</v>
      </c>
      <c r="E231">
        <v>5.8</v>
      </c>
      <c r="F231">
        <v>20</v>
      </c>
      <c r="G231" t="s">
        <v>34</v>
      </c>
      <c r="H231" t="s">
        <v>25</v>
      </c>
      <c r="I231">
        <v>7</v>
      </c>
      <c r="J231">
        <v>7</v>
      </c>
      <c r="K231">
        <v>80</v>
      </c>
      <c r="L231">
        <v>58</v>
      </c>
      <c r="M231">
        <v>1028.5999999999999</v>
      </c>
      <c r="N231">
        <v>1025.5</v>
      </c>
      <c r="O231">
        <v>7</v>
      </c>
      <c r="P231">
        <v>14.9</v>
      </c>
      <c r="Q231" t="s">
        <v>19</v>
      </c>
      <c r="S231">
        <v>16</v>
      </c>
      <c r="T231">
        <v>32.071794461800856</v>
      </c>
      <c r="U231">
        <v>5.66</v>
      </c>
      <c r="W231">
        <f t="shared" si="33"/>
        <v>7</v>
      </c>
      <c r="X231">
        <f t="shared" si="34"/>
        <v>38</v>
      </c>
      <c r="Y231">
        <f t="shared" si="35"/>
        <v>19.8</v>
      </c>
      <c r="Z231">
        <f t="shared" si="36"/>
        <v>58</v>
      </c>
      <c r="AA231">
        <f t="shared" si="37"/>
        <v>129</v>
      </c>
      <c r="AB231">
        <f t="shared" si="38"/>
        <v>6</v>
      </c>
      <c r="AC231" t="str">
        <f t="shared" si="39"/>
        <v>N</v>
      </c>
      <c r="AD231" t="str">
        <f t="shared" si="40"/>
        <v>E</v>
      </c>
      <c r="AE231">
        <f t="shared" si="41"/>
        <v>3</v>
      </c>
    </row>
    <row r="232" spans="1:31" x14ac:dyDescent="0.25">
      <c r="A232">
        <v>0.4</v>
      </c>
      <c r="B232">
        <v>15.5</v>
      </c>
      <c r="C232">
        <v>0</v>
      </c>
      <c r="D232">
        <v>1</v>
      </c>
      <c r="E232">
        <v>4.7</v>
      </c>
      <c r="F232">
        <v>13</v>
      </c>
      <c r="G232" t="s">
        <v>24</v>
      </c>
      <c r="H232" t="s">
        <v>33</v>
      </c>
      <c r="I232">
        <v>6</v>
      </c>
      <c r="J232">
        <v>9</v>
      </c>
      <c r="K232">
        <v>97</v>
      </c>
      <c r="L232">
        <v>70</v>
      </c>
      <c r="M232">
        <v>1026.7</v>
      </c>
      <c r="N232">
        <v>1023.5</v>
      </c>
      <c r="O232">
        <v>5</v>
      </c>
      <c r="P232">
        <v>15</v>
      </c>
      <c r="Q232" t="s">
        <v>19</v>
      </c>
      <c r="S232">
        <v>16</v>
      </c>
      <c r="T232">
        <v>32.042159727459072</v>
      </c>
      <c r="U232">
        <v>5.66</v>
      </c>
      <c r="W232">
        <f t="shared" si="33"/>
        <v>9</v>
      </c>
      <c r="X232">
        <f t="shared" si="34"/>
        <v>45.5</v>
      </c>
      <c r="Y232">
        <f t="shared" si="35"/>
        <v>19.7</v>
      </c>
      <c r="Z232">
        <f t="shared" si="36"/>
        <v>70</v>
      </c>
      <c r="AA232">
        <f t="shared" si="37"/>
        <v>134</v>
      </c>
      <c r="AB232">
        <f t="shared" si="38"/>
        <v>1</v>
      </c>
      <c r="AC232" t="str">
        <f t="shared" si="39"/>
        <v>N</v>
      </c>
      <c r="AD232" t="str">
        <f t="shared" si="40"/>
        <v>W</v>
      </c>
      <c r="AE232">
        <f t="shared" si="41"/>
        <v>1</v>
      </c>
    </row>
    <row r="233" spans="1:31" x14ac:dyDescent="0.25">
      <c r="A233">
        <v>4</v>
      </c>
      <c r="B233">
        <v>15.9</v>
      </c>
      <c r="C233">
        <v>0</v>
      </c>
      <c r="D233">
        <v>0.6</v>
      </c>
      <c r="E233">
        <v>2</v>
      </c>
      <c r="F233">
        <v>17</v>
      </c>
      <c r="G233" t="s">
        <v>29</v>
      </c>
      <c r="H233" t="s">
        <v>27</v>
      </c>
      <c r="I233">
        <v>6</v>
      </c>
      <c r="J233">
        <v>7</v>
      </c>
      <c r="K233">
        <v>95</v>
      </c>
      <c r="L233">
        <v>63</v>
      </c>
      <c r="M233">
        <v>1022.5</v>
      </c>
      <c r="N233">
        <v>1019.7</v>
      </c>
      <c r="O233">
        <v>8</v>
      </c>
      <c r="P233">
        <v>14.8</v>
      </c>
      <c r="Q233" t="s">
        <v>19</v>
      </c>
      <c r="S233">
        <v>16</v>
      </c>
      <c r="T233">
        <v>31.976553910638962</v>
      </c>
      <c r="U233">
        <v>5.65</v>
      </c>
      <c r="W233">
        <f t="shared" si="33"/>
        <v>7</v>
      </c>
      <c r="X233">
        <f t="shared" si="34"/>
        <v>42.75</v>
      </c>
      <c r="Y233">
        <f t="shared" si="35"/>
        <v>15</v>
      </c>
      <c r="Z233">
        <f t="shared" si="36"/>
        <v>63</v>
      </c>
      <c r="AA233">
        <f t="shared" si="37"/>
        <v>131</v>
      </c>
      <c r="AB233">
        <f t="shared" si="38"/>
        <v>3</v>
      </c>
      <c r="AC233" t="str">
        <f t="shared" si="39"/>
        <v>N</v>
      </c>
      <c r="AD233" t="str">
        <f t="shared" si="40"/>
        <v>E</v>
      </c>
      <c r="AE233">
        <f t="shared" si="41"/>
        <v>2</v>
      </c>
    </row>
    <row r="234" spans="1:31" x14ac:dyDescent="0.25">
      <c r="A234">
        <v>8.4</v>
      </c>
      <c r="B234">
        <v>11.7</v>
      </c>
      <c r="C234">
        <v>4.8</v>
      </c>
      <c r="D234">
        <v>0.6</v>
      </c>
      <c r="E234">
        <v>0</v>
      </c>
      <c r="F234">
        <v>26</v>
      </c>
      <c r="G234" t="s">
        <v>26</v>
      </c>
      <c r="H234" t="s">
        <v>26</v>
      </c>
      <c r="I234">
        <v>6</v>
      </c>
      <c r="J234">
        <v>7</v>
      </c>
      <c r="K234">
        <v>91</v>
      </c>
      <c r="L234">
        <v>86</v>
      </c>
      <c r="M234">
        <v>1021.2</v>
      </c>
      <c r="N234">
        <v>1019.2</v>
      </c>
      <c r="O234">
        <v>8</v>
      </c>
      <c r="P234">
        <v>11.3</v>
      </c>
      <c r="Q234" t="s">
        <v>20</v>
      </c>
      <c r="S234">
        <v>12</v>
      </c>
      <c r="T234">
        <v>31.95622005181464</v>
      </c>
      <c r="U234">
        <v>5.65</v>
      </c>
      <c r="W234">
        <f t="shared" si="33"/>
        <v>7</v>
      </c>
      <c r="X234">
        <f t="shared" si="34"/>
        <v>47.5</v>
      </c>
      <c r="Y234">
        <f t="shared" si="35"/>
        <v>13</v>
      </c>
      <c r="Z234">
        <f t="shared" si="36"/>
        <v>86</v>
      </c>
      <c r="AA234">
        <f t="shared" si="37"/>
        <v>124</v>
      </c>
      <c r="AB234">
        <f t="shared" si="38"/>
        <v>8</v>
      </c>
      <c r="AC234" t="str">
        <f t="shared" si="39"/>
        <v>Y</v>
      </c>
      <c r="AD234" t="str">
        <f t="shared" si="40"/>
        <v>W</v>
      </c>
      <c r="AE234">
        <f t="shared" si="41"/>
        <v>3</v>
      </c>
    </row>
    <row r="235" spans="1:31" x14ac:dyDescent="0.25">
      <c r="A235">
        <v>0.4</v>
      </c>
      <c r="B235">
        <v>13.9</v>
      </c>
      <c r="C235">
        <v>0.6</v>
      </c>
      <c r="D235">
        <v>0.8</v>
      </c>
      <c r="E235">
        <v>7.7</v>
      </c>
      <c r="F235">
        <v>41</v>
      </c>
      <c r="G235" t="s">
        <v>22</v>
      </c>
      <c r="H235" t="s">
        <v>26</v>
      </c>
      <c r="I235">
        <v>6</v>
      </c>
      <c r="J235">
        <v>19</v>
      </c>
      <c r="K235">
        <v>99</v>
      </c>
      <c r="L235">
        <v>59</v>
      </c>
      <c r="M235">
        <v>1023</v>
      </c>
      <c r="N235">
        <v>1021</v>
      </c>
      <c r="O235">
        <v>3</v>
      </c>
      <c r="P235">
        <v>12.1</v>
      </c>
      <c r="Q235" t="s">
        <v>19</v>
      </c>
      <c r="S235">
        <v>14</v>
      </c>
      <c r="T235">
        <v>31.984371183438952</v>
      </c>
      <c r="U235">
        <v>5.66</v>
      </c>
      <c r="W235">
        <f t="shared" si="33"/>
        <v>19</v>
      </c>
      <c r="X235">
        <f t="shared" si="34"/>
        <v>45.75</v>
      </c>
      <c r="Y235">
        <f t="shared" si="35"/>
        <v>32.700000000000003</v>
      </c>
      <c r="Z235">
        <f t="shared" si="36"/>
        <v>59</v>
      </c>
      <c r="AA235">
        <f t="shared" si="37"/>
        <v>67</v>
      </c>
      <c r="AB235">
        <f t="shared" si="38"/>
        <v>56</v>
      </c>
      <c r="AC235" t="str">
        <f t="shared" si="39"/>
        <v>N</v>
      </c>
      <c r="AD235" t="str">
        <f t="shared" si="40"/>
        <v>W</v>
      </c>
      <c r="AE235">
        <f t="shared" si="41"/>
        <v>1</v>
      </c>
    </row>
    <row r="236" spans="1:31" x14ac:dyDescent="0.25">
      <c r="A236">
        <v>4.2</v>
      </c>
      <c r="B236">
        <v>14</v>
      </c>
      <c r="C236">
        <v>0</v>
      </c>
      <c r="D236">
        <v>1.4</v>
      </c>
      <c r="E236">
        <v>7.6</v>
      </c>
      <c r="F236">
        <v>33</v>
      </c>
      <c r="G236" t="s">
        <v>33</v>
      </c>
      <c r="H236" t="s">
        <v>29</v>
      </c>
      <c r="I236">
        <v>9</v>
      </c>
      <c r="J236">
        <v>9</v>
      </c>
      <c r="K236">
        <v>74</v>
      </c>
      <c r="L236">
        <v>44</v>
      </c>
      <c r="M236">
        <v>1026.4000000000001</v>
      </c>
      <c r="N236">
        <v>1025.7</v>
      </c>
      <c r="O236">
        <v>5</v>
      </c>
      <c r="P236">
        <v>12.5</v>
      </c>
      <c r="Q236" t="s">
        <v>19</v>
      </c>
      <c r="S236">
        <v>14</v>
      </c>
      <c r="T236">
        <v>32.037478053055302</v>
      </c>
      <c r="U236">
        <v>5.66</v>
      </c>
      <c r="W236">
        <f t="shared" si="33"/>
        <v>9</v>
      </c>
      <c r="X236">
        <f t="shared" si="34"/>
        <v>34</v>
      </c>
      <c r="Y236">
        <f t="shared" si="35"/>
        <v>25.6</v>
      </c>
      <c r="Z236">
        <f t="shared" si="36"/>
        <v>44</v>
      </c>
      <c r="AA236">
        <f t="shared" si="37"/>
        <v>94</v>
      </c>
      <c r="AB236">
        <f t="shared" si="38"/>
        <v>35</v>
      </c>
      <c r="AC236" t="str">
        <f t="shared" si="39"/>
        <v>N</v>
      </c>
      <c r="AD236" t="str">
        <f t="shared" si="40"/>
        <v>E</v>
      </c>
      <c r="AE236">
        <f t="shared" si="41"/>
        <v>3</v>
      </c>
    </row>
    <row r="237" spans="1:31" x14ac:dyDescent="0.25">
      <c r="A237">
        <v>0.9</v>
      </c>
      <c r="B237">
        <v>12.9</v>
      </c>
      <c r="C237">
        <v>0</v>
      </c>
      <c r="D237">
        <v>2</v>
      </c>
      <c r="E237">
        <v>6.8</v>
      </c>
      <c r="F237">
        <v>24</v>
      </c>
      <c r="G237" t="s">
        <v>23</v>
      </c>
      <c r="H237" t="s">
        <v>24</v>
      </c>
      <c r="I237">
        <v>7</v>
      </c>
      <c r="J237">
        <v>15</v>
      </c>
      <c r="K237">
        <v>92</v>
      </c>
      <c r="L237">
        <v>53</v>
      </c>
      <c r="M237">
        <v>1025.0999999999999</v>
      </c>
      <c r="N237">
        <v>1022.1</v>
      </c>
      <c r="O237">
        <v>7</v>
      </c>
      <c r="P237">
        <v>12.3</v>
      </c>
      <c r="Q237" t="s">
        <v>19</v>
      </c>
      <c r="S237">
        <v>13</v>
      </c>
      <c r="T237">
        <v>32.017182886693824</v>
      </c>
      <c r="U237">
        <v>5.66</v>
      </c>
      <c r="W237">
        <f t="shared" si="33"/>
        <v>15</v>
      </c>
      <c r="X237">
        <f t="shared" si="34"/>
        <v>41.75</v>
      </c>
      <c r="Y237">
        <f t="shared" si="35"/>
        <v>28.8</v>
      </c>
      <c r="Z237">
        <f t="shared" si="36"/>
        <v>53</v>
      </c>
      <c r="AA237">
        <f t="shared" si="37"/>
        <v>124</v>
      </c>
      <c r="AB237">
        <f t="shared" si="38"/>
        <v>7</v>
      </c>
      <c r="AC237" t="str">
        <f t="shared" si="39"/>
        <v>N</v>
      </c>
      <c r="AD237" t="str">
        <f t="shared" si="40"/>
        <v>N</v>
      </c>
      <c r="AE237">
        <f t="shared" si="41"/>
        <v>1</v>
      </c>
    </row>
    <row r="238" spans="1:31" x14ac:dyDescent="0.25">
      <c r="A238">
        <v>0.8</v>
      </c>
      <c r="B238">
        <v>13</v>
      </c>
      <c r="C238">
        <v>0</v>
      </c>
      <c r="D238">
        <v>1.4</v>
      </c>
      <c r="E238">
        <v>4.0999999999999996</v>
      </c>
      <c r="F238">
        <v>41</v>
      </c>
      <c r="G238" t="s">
        <v>30</v>
      </c>
      <c r="H238" t="s">
        <v>17</v>
      </c>
      <c r="I238">
        <v>2</v>
      </c>
      <c r="J238">
        <v>28</v>
      </c>
      <c r="K238">
        <v>95</v>
      </c>
      <c r="L238">
        <v>69</v>
      </c>
      <c r="M238">
        <v>1028.2</v>
      </c>
      <c r="N238">
        <v>1024.2</v>
      </c>
      <c r="O238">
        <v>8</v>
      </c>
      <c r="P238">
        <v>11.7</v>
      </c>
      <c r="Q238" t="s">
        <v>19</v>
      </c>
      <c r="S238">
        <v>13</v>
      </c>
      <c r="T238">
        <v>32.065557846387144</v>
      </c>
      <c r="U238">
        <v>5.66</v>
      </c>
      <c r="W238">
        <f t="shared" si="33"/>
        <v>28</v>
      </c>
      <c r="X238">
        <f t="shared" si="34"/>
        <v>48.5</v>
      </c>
      <c r="Y238">
        <f t="shared" si="35"/>
        <v>34.1</v>
      </c>
      <c r="Z238">
        <f t="shared" si="36"/>
        <v>69</v>
      </c>
      <c r="AA238">
        <f t="shared" si="37"/>
        <v>67</v>
      </c>
      <c r="AB238">
        <f t="shared" si="38"/>
        <v>54</v>
      </c>
      <c r="AC238" t="str">
        <f t="shared" si="39"/>
        <v>N</v>
      </c>
      <c r="AD238" t="str">
        <f t="shared" si="40"/>
        <v>W</v>
      </c>
      <c r="AE238">
        <f t="shared" si="41"/>
        <v>1</v>
      </c>
    </row>
    <row r="239" spans="1:31" x14ac:dyDescent="0.25">
      <c r="A239">
        <v>4.3</v>
      </c>
      <c r="B239">
        <v>12.6</v>
      </c>
      <c r="C239">
        <v>0</v>
      </c>
      <c r="D239">
        <v>2</v>
      </c>
      <c r="E239">
        <v>9</v>
      </c>
      <c r="F239">
        <v>46</v>
      </c>
      <c r="G239" t="s">
        <v>35</v>
      </c>
      <c r="H239" t="s">
        <v>26</v>
      </c>
      <c r="I239">
        <v>0</v>
      </c>
      <c r="J239">
        <v>28</v>
      </c>
      <c r="K239">
        <v>75</v>
      </c>
      <c r="L239">
        <v>54</v>
      </c>
      <c r="M239">
        <v>1026.3</v>
      </c>
      <c r="N239">
        <v>1021.9</v>
      </c>
      <c r="O239">
        <v>3</v>
      </c>
      <c r="P239">
        <v>11.3</v>
      </c>
      <c r="Q239" t="s">
        <v>19</v>
      </c>
      <c r="S239">
        <v>13</v>
      </c>
      <c r="T239">
        <v>32.035917342882506</v>
      </c>
      <c r="U239">
        <v>5.66</v>
      </c>
      <c r="W239">
        <f t="shared" si="33"/>
        <v>28</v>
      </c>
      <c r="X239">
        <f t="shared" si="34"/>
        <v>39.25</v>
      </c>
      <c r="Y239">
        <f t="shared" si="35"/>
        <v>37</v>
      </c>
      <c r="Z239">
        <f t="shared" si="36"/>
        <v>54</v>
      </c>
      <c r="AA239">
        <f t="shared" si="37"/>
        <v>44</v>
      </c>
      <c r="AB239">
        <f t="shared" si="38"/>
        <v>76</v>
      </c>
      <c r="AC239" t="str">
        <f t="shared" si="39"/>
        <v>N</v>
      </c>
      <c r="AD239" t="str">
        <f t="shared" si="40"/>
        <v>W</v>
      </c>
      <c r="AE239">
        <f t="shared" si="41"/>
        <v>2</v>
      </c>
    </row>
    <row r="240" spans="1:31" x14ac:dyDescent="0.25">
      <c r="A240">
        <v>6.3</v>
      </c>
      <c r="B240">
        <v>11.8</v>
      </c>
      <c r="C240">
        <v>0</v>
      </c>
      <c r="D240">
        <v>2.6</v>
      </c>
      <c r="E240">
        <v>6.5</v>
      </c>
      <c r="F240">
        <v>63</v>
      </c>
      <c r="G240" t="s">
        <v>33</v>
      </c>
      <c r="H240" t="s">
        <v>26</v>
      </c>
      <c r="I240">
        <v>20</v>
      </c>
      <c r="J240">
        <v>28</v>
      </c>
      <c r="K240">
        <v>81</v>
      </c>
      <c r="L240">
        <v>48</v>
      </c>
      <c r="M240">
        <v>1018.7</v>
      </c>
      <c r="N240">
        <v>1020.4</v>
      </c>
      <c r="O240">
        <v>6</v>
      </c>
      <c r="P240">
        <v>11.5</v>
      </c>
      <c r="Q240" t="s">
        <v>19</v>
      </c>
      <c r="S240">
        <v>12</v>
      </c>
      <c r="T240">
        <v>31.917080066948483</v>
      </c>
      <c r="U240">
        <v>5.65</v>
      </c>
      <c r="W240">
        <f t="shared" si="33"/>
        <v>28</v>
      </c>
      <c r="X240">
        <f t="shared" si="34"/>
        <v>44.25</v>
      </c>
      <c r="Y240">
        <f t="shared" si="35"/>
        <v>54.5</v>
      </c>
      <c r="Z240">
        <f t="shared" si="36"/>
        <v>48</v>
      </c>
      <c r="AA240">
        <f t="shared" si="37"/>
        <v>16</v>
      </c>
      <c r="AB240">
        <f t="shared" si="38"/>
        <v>112</v>
      </c>
      <c r="AC240" t="str">
        <f t="shared" si="39"/>
        <v>N</v>
      </c>
      <c r="AD240" t="str">
        <f t="shared" si="40"/>
        <v>W</v>
      </c>
      <c r="AE240">
        <f t="shared" si="41"/>
        <v>3</v>
      </c>
    </row>
    <row r="241" spans="1:31" x14ac:dyDescent="0.25">
      <c r="A241">
        <v>3.5</v>
      </c>
      <c r="B241">
        <v>14.3</v>
      </c>
      <c r="C241">
        <v>0</v>
      </c>
      <c r="D241">
        <v>3.4</v>
      </c>
      <c r="E241">
        <v>8.9</v>
      </c>
      <c r="F241">
        <v>35</v>
      </c>
      <c r="G241" t="s">
        <v>24</v>
      </c>
      <c r="H241" t="s">
        <v>33</v>
      </c>
      <c r="I241">
        <v>7</v>
      </c>
      <c r="J241">
        <v>24</v>
      </c>
      <c r="K241">
        <v>71</v>
      </c>
      <c r="L241">
        <v>51</v>
      </c>
      <c r="M241">
        <v>1027.8</v>
      </c>
      <c r="N241">
        <v>1025</v>
      </c>
      <c r="O241">
        <v>1</v>
      </c>
      <c r="P241">
        <v>12.7</v>
      </c>
      <c r="Q241" t="s">
        <v>19</v>
      </c>
      <c r="S241">
        <v>14</v>
      </c>
      <c r="T241">
        <v>32.05932001774211</v>
      </c>
      <c r="U241">
        <v>5.66</v>
      </c>
      <c r="W241">
        <f t="shared" si="33"/>
        <v>24</v>
      </c>
      <c r="X241">
        <f t="shared" si="34"/>
        <v>38.25</v>
      </c>
      <c r="Y241">
        <f t="shared" si="35"/>
        <v>39.9</v>
      </c>
      <c r="Z241">
        <f t="shared" si="36"/>
        <v>51</v>
      </c>
      <c r="AA241">
        <f t="shared" si="37"/>
        <v>82</v>
      </c>
      <c r="AB241">
        <f t="shared" si="38"/>
        <v>37</v>
      </c>
      <c r="AC241" t="str">
        <f t="shared" si="39"/>
        <v>N</v>
      </c>
      <c r="AD241" t="str">
        <f t="shared" si="40"/>
        <v>W</v>
      </c>
      <c r="AE241">
        <f t="shared" si="41"/>
        <v>1</v>
      </c>
    </row>
    <row r="242" spans="1:31" x14ac:dyDescent="0.25">
      <c r="A242">
        <v>-1.5</v>
      </c>
      <c r="B242">
        <v>14.8</v>
      </c>
      <c r="C242">
        <v>0</v>
      </c>
      <c r="D242">
        <v>2.2000000000000002</v>
      </c>
      <c r="E242">
        <v>8</v>
      </c>
      <c r="F242">
        <v>15</v>
      </c>
      <c r="G242" t="s">
        <v>24</v>
      </c>
      <c r="H242" t="s">
        <v>17</v>
      </c>
      <c r="I242">
        <v>6</v>
      </c>
      <c r="J242">
        <v>9</v>
      </c>
      <c r="K242">
        <v>90</v>
      </c>
      <c r="L242">
        <v>41</v>
      </c>
      <c r="M242">
        <v>1029.0999999999999</v>
      </c>
      <c r="N242">
        <v>1026</v>
      </c>
      <c r="O242">
        <v>4</v>
      </c>
      <c r="P242">
        <v>14.5</v>
      </c>
      <c r="Q242" t="s">
        <v>19</v>
      </c>
      <c r="S242">
        <v>15</v>
      </c>
      <c r="T242">
        <v>32.079588526039416</v>
      </c>
      <c r="U242">
        <v>5.66</v>
      </c>
      <c r="W242">
        <f t="shared" si="33"/>
        <v>9</v>
      </c>
      <c r="X242">
        <f t="shared" si="34"/>
        <v>36.5</v>
      </c>
      <c r="Y242">
        <f t="shared" si="35"/>
        <v>23</v>
      </c>
      <c r="Z242">
        <f t="shared" si="36"/>
        <v>41</v>
      </c>
      <c r="AA242">
        <f t="shared" si="37"/>
        <v>124</v>
      </c>
      <c r="AB242">
        <f t="shared" si="38"/>
        <v>2</v>
      </c>
      <c r="AC242" t="str">
        <f t="shared" si="39"/>
        <v>N</v>
      </c>
      <c r="AD242" t="str">
        <f t="shared" si="40"/>
        <v>W</v>
      </c>
      <c r="AE242">
        <f t="shared" si="41"/>
        <v>1</v>
      </c>
    </row>
    <row r="243" spans="1:31" x14ac:dyDescent="0.25">
      <c r="A243">
        <v>1.2</v>
      </c>
      <c r="B243">
        <v>16</v>
      </c>
      <c r="C243">
        <v>0</v>
      </c>
      <c r="D243">
        <v>1.4</v>
      </c>
      <c r="E243">
        <v>6.1</v>
      </c>
      <c r="F243">
        <v>31</v>
      </c>
      <c r="G243" t="s">
        <v>30</v>
      </c>
      <c r="H243" t="s">
        <v>24</v>
      </c>
      <c r="I243">
        <v>6</v>
      </c>
      <c r="J243">
        <v>22</v>
      </c>
      <c r="K243">
        <v>84</v>
      </c>
      <c r="L243">
        <v>38</v>
      </c>
      <c r="M243">
        <v>1024.5999999999999</v>
      </c>
      <c r="N243">
        <v>1020.9</v>
      </c>
      <c r="O243">
        <v>7</v>
      </c>
      <c r="P243">
        <v>14.6</v>
      </c>
      <c r="Q243" t="s">
        <v>19</v>
      </c>
      <c r="S243">
        <v>16</v>
      </c>
      <c r="T243">
        <v>32.009373627111167</v>
      </c>
      <c r="U243">
        <v>5.66</v>
      </c>
      <c r="W243">
        <f t="shared" si="33"/>
        <v>22</v>
      </c>
      <c r="X243">
        <f t="shared" si="34"/>
        <v>37.5</v>
      </c>
      <c r="Y243">
        <f t="shared" si="35"/>
        <v>34.1</v>
      </c>
      <c r="Z243">
        <f t="shared" si="36"/>
        <v>38</v>
      </c>
      <c r="AA243">
        <f t="shared" si="37"/>
        <v>93</v>
      </c>
      <c r="AB243">
        <f t="shared" si="38"/>
        <v>19</v>
      </c>
      <c r="AC243" t="str">
        <f t="shared" si="39"/>
        <v>N</v>
      </c>
      <c r="AD243" t="str">
        <f t="shared" si="40"/>
        <v>N</v>
      </c>
      <c r="AE243">
        <f t="shared" si="41"/>
        <v>1</v>
      </c>
    </row>
    <row r="244" spans="1:31" x14ac:dyDescent="0.25">
      <c r="A244">
        <v>0.5</v>
      </c>
      <c r="B244">
        <v>15.4</v>
      </c>
      <c r="C244">
        <v>0</v>
      </c>
      <c r="D244">
        <v>2.4</v>
      </c>
      <c r="E244">
        <v>6.4</v>
      </c>
      <c r="F244">
        <v>70</v>
      </c>
      <c r="G244" t="s">
        <v>17</v>
      </c>
      <c r="H244" t="s">
        <v>33</v>
      </c>
      <c r="I244">
        <v>22</v>
      </c>
      <c r="J244">
        <v>28</v>
      </c>
      <c r="K244">
        <v>53</v>
      </c>
      <c r="L244">
        <v>68</v>
      </c>
      <c r="M244">
        <v>1017.2</v>
      </c>
      <c r="N244">
        <v>1010.2</v>
      </c>
      <c r="O244">
        <v>1</v>
      </c>
      <c r="P244">
        <v>12.9</v>
      </c>
      <c r="Q244" t="s">
        <v>19</v>
      </c>
      <c r="S244">
        <v>15</v>
      </c>
      <c r="T244">
        <v>31.89357302028106</v>
      </c>
      <c r="U244">
        <v>5.65</v>
      </c>
      <c r="W244">
        <f t="shared" si="33"/>
        <v>28</v>
      </c>
      <c r="X244">
        <f t="shared" si="34"/>
        <v>42.75</v>
      </c>
      <c r="Y244">
        <f t="shared" si="35"/>
        <v>56.4</v>
      </c>
      <c r="Z244">
        <f t="shared" si="36"/>
        <v>53</v>
      </c>
      <c r="AA244">
        <f t="shared" si="37"/>
        <v>6</v>
      </c>
      <c r="AB244">
        <f t="shared" si="38"/>
        <v>115</v>
      </c>
      <c r="AC244" t="str">
        <f t="shared" si="39"/>
        <v>N</v>
      </c>
      <c r="AD244" t="str">
        <f t="shared" si="40"/>
        <v>W</v>
      </c>
      <c r="AE244">
        <f t="shared" si="41"/>
        <v>2</v>
      </c>
    </row>
    <row r="245" spans="1:31" x14ac:dyDescent="0.25">
      <c r="A245">
        <v>5.3</v>
      </c>
      <c r="B245">
        <v>11.7</v>
      </c>
      <c r="C245">
        <v>2</v>
      </c>
      <c r="D245">
        <v>3.6</v>
      </c>
      <c r="E245">
        <v>5.6</v>
      </c>
      <c r="F245">
        <v>78</v>
      </c>
      <c r="G245" t="s">
        <v>17</v>
      </c>
      <c r="H245" t="s">
        <v>23</v>
      </c>
      <c r="I245">
        <v>33</v>
      </c>
      <c r="J245">
        <v>33</v>
      </c>
      <c r="K245">
        <v>73</v>
      </c>
      <c r="L245">
        <v>56</v>
      </c>
      <c r="M245">
        <v>1012.1</v>
      </c>
      <c r="N245">
        <v>1012.3</v>
      </c>
      <c r="O245">
        <v>3</v>
      </c>
      <c r="P245">
        <v>11.1</v>
      </c>
      <c r="Q245" t="s">
        <v>20</v>
      </c>
      <c r="S245">
        <v>12</v>
      </c>
      <c r="T245">
        <v>31.813519138881823</v>
      </c>
      <c r="U245">
        <v>5.64</v>
      </c>
      <c r="W245">
        <f t="shared" si="33"/>
        <v>33</v>
      </c>
      <c r="X245">
        <f t="shared" si="34"/>
        <v>48.75</v>
      </c>
      <c r="Y245">
        <f t="shared" si="35"/>
        <v>71.599999999999994</v>
      </c>
      <c r="Z245">
        <f t="shared" si="36"/>
        <v>56</v>
      </c>
      <c r="AA245">
        <f t="shared" si="37"/>
        <v>3</v>
      </c>
      <c r="AB245">
        <f t="shared" si="38"/>
        <v>119</v>
      </c>
      <c r="AC245" t="str">
        <f t="shared" si="39"/>
        <v>Y</v>
      </c>
      <c r="AD245" t="str">
        <f t="shared" si="40"/>
        <v>W</v>
      </c>
      <c r="AE245">
        <f t="shared" si="41"/>
        <v>2</v>
      </c>
    </row>
    <row r="246" spans="1:31" x14ac:dyDescent="0.25">
      <c r="A246">
        <v>6.6</v>
      </c>
      <c r="B246">
        <v>13.1</v>
      </c>
      <c r="C246">
        <v>0.2</v>
      </c>
      <c r="D246">
        <v>2.8</v>
      </c>
      <c r="E246">
        <v>8.1999999999999993</v>
      </c>
      <c r="F246">
        <v>61</v>
      </c>
      <c r="G246" t="s">
        <v>33</v>
      </c>
      <c r="H246" t="s">
        <v>26</v>
      </c>
      <c r="I246">
        <v>31</v>
      </c>
      <c r="J246">
        <v>30</v>
      </c>
      <c r="K246">
        <v>62</v>
      </c>
      <c r="L246">
        <v>53</v>
      </c>
      <c r="M246">
        <v>1013.5</v>
      </c>
      <c r="N246">
        <v>1014</v>
      </c>
      <c r="O246">
        <v>5</v>
      </c>
      <c r="P246">
        <v>12.3</v>
      </c>
      <c r="Q246" t="s">
        <v>19</v>
      </c>
      <c r="S246">
        <v>13</v>
      </c>
      <c r="T246">
        <v>31.835514759463212</v>
      </c>
      <c r="U246">
        <v>5.64</v>
      </c>
      <c r="W246">
        <f t="shared" si="33"/>
        <v>31</v>
      </c>
      <c r="X246">
        <f t="shared" si="34"/>
        <v>44</v>
      </c>
      <c r="Y246">
        <f t="shared" si="35"/>
        <v>69.2</v>
      </c>
      <c r="Z246">
        <f t="shared" si="36"/>
        <v>53</v>
      </c>
      <c r="AA246">
        <f t="shared" si="37"/>
        <v>14</v>
      </c>
      <c r="AB246">
        <f t="shared" si="38"/>
        <v>108</v>
      </c>
      <c r="AC246" t="str">
        <f t="shared" si="39"/>
        <v>N</v>
      </c>
      <c r="AD246" t="str">
        <f t="shared" si="40"/>
        <v>W</v>
      </c>
      <c r="AE246">
        <f t="shared" si="41"/>
        <v>3</v>
      </c>
    </row>
    <row r="247" spans="1:31" x14ac:dyDescent="0.25">
      <c r="A247">
        <v>-1.6</v>
      </c>
      <c r="B247">
        <v>11.5</v>
      </c>
      <c r="C247">
        <v>0</v>
      </c>
      <c r="D247">
        <v>2.8</v>
      </c>
      <c r="E247">
        <v>8.9</v>
      </c>
      <c r="F247">
        <v>31</v>
      </c>
      <c r="G247" t="s">
        <v>28</v>
      </c>
      <c r="H247" t="s">
        <v>33</v>
      </c>
      <c r="I247">
        <v>7</v>
      </c>
      <c r="J247">
        <v>20</v>
      </c>
      <c r="K247">
        <v>82</v>
      </c>
      <c r="L247">
        <v>53</v>
      </c>
      <c r="M247">
        <v>1024.3</v>
      </c>
      <c r="N247">
        <v>1021.9</v>
      </c>
      <c r="O247">
        <v>1</v>
      </c>
      <c r="P247">
        <v>11.1</v>
      </c>
      <c r="Q247" t="s">
        <v>19</v>
      </c>
      <c r="S247">
        <v>12</v>
      </c>
      <c r="T247">
        <v>32.004687156727528</v>
      </c>
      <c r="U247">
        <v>5.66</v>
      </c>
      <c r="W247">
        <f t="shared" si="33"/>
        <v>20</v>
      </c>
      <c r="X247">
        <f t="shared" si="34"/>
        <v>40.5</v>
      </c>
      <c r="Y247">
        <f t="shared" si="35"/>
        <v>35.9</v>
      </c>
      <c r="Z247">
        <f t="shared" si="36"/>
        <v>53</v>
      </c>
      <c r="AA247">
        <f t="shared" si="37"/>
        <v>90</v>
      </c>
      <c r="AB247">
        <f t="shared" si="38"/>
        <v>19</v>
      </c>
      <c r="AC247" t="str">
        <f t="shared" si="39"/>
        <v>N</v>
      </c>
      <c r="AD247" t="str">
        <f t="shared" si="40"/>
        <v>W</v>
      </c>
      <c r="AE247">
        <f t="shared" si="41"/>
        <v>3</v>
      </c>
    </row>
    <row r="248" spans="1:31" x14ac:dyDescent="0.25">
      <c r="A248">
        <v>-3.1</v>
      </c>
      <c r="B248">
        <v>12</v>
      </c>
      <c r="C248">
        <v>0</v>
      </c>
      <c r="D248">
        <v>1.8</v>
      </c>
      <c r="E248">
        <v>3.9</v>
      </c>
      <c r="F248">
        <v>35</v>
      </c>
      <c r="G248" t="s">
        <v>34</v>
      </c>
      <c r="H248" t="s">
        <v>32</v>
      </c>
      <c r="I248">
        <v>4</v>
      </c>
      <c r="J248">
        <v>13</v>
      </c>
      <c r="K248">
        <v>80</v>
      </c>
      <c r="L248">
        <v>52</v>
      </c>
      <c r="M248">
        <v>1030.5</v>
      </c>
      <c r="N248">
        <v>1030</v>
      </c>
      <c r="O248">
        <v>1</v>
      </c>
      <c r="P248">
        <v>10.199999999999999</v>
      </c>
      <c r="Q248" t="s">
        <v>19</v>
      </c>
      <c r="S248">
        <v>12</v>
      </c>
      <c r="T248">
        <v>32.101401838549044</v>
      </c>
      <c r="U248">
        <v>5.67</v>
      </c>
      <c r="W248">
        <f t="shared" si="33"/>
        <v>13</v>
      </c>
      <c r="X248">
        <f t="shared" si="34"/>
        <v>37.25</v>
      </c>
      <c r="Y248">
        <f t="shared" si="35"/>
        <v>20.9</v>
      </c>
      <c r="Z248">
        <f t="shared" si="36"/>
        <v>52</v>
      </c>
      <c r="AA248">
        <f t="shared" si="37"/>
        <v>79</v>
      </c>
      <c r="AB248">
        <f t="shared" si="38"/>
        <v>34</v>
      </c>
      <c r="AC248" t="str">
        <f t="shared" si="39"/>
        <v>N</v>
      </c>
      <c r="AD248" t="str">
        <f t="shared" si="40"/>
        <v>E</v>
      </c>
      <c r="AE248">
        <f t="shared" si="41"/>
        <v>3</v>
      </c>
    </row>
    <row r="249" spans="1:31" x14ac:dyDescent="0.25">
      <c r="A249">
        <v>-0.1</v>
      </c>
      <c r="B249">
        <v>14.2</v>
      </c>
      <c r="C249">
        <v>0</v>
      </c>
      <c r="D249">
        <v>1.4</v>
      </c>
      <c r="E249">
        <v>7</v>
      </c>
      <c r="F249">
        <v>13</v>
      </c>
      <c r="G249" t="s">
        <v>35</v>
      </c>
      <c r="H249" t="s">
        <v>26</v>
      </c>
      <c r="I249" t="s">
        <v>35</v>
      </c>
      <c r="J249">
        <v>2</v>
      </c>
      <c r="K249">
        <v>81</v>
      </c>
      <c r="L249">
        <v>55</v>
      </c>
      <c r="M249">
        <v>1032.9000000000001</v>
      </c>
      <c r="N249">
        <v>1028.9000000000001</v>
      </c>
      <c r="O249">
        <v>1</v>
      </c>
      <c r="P249">
        <v>12.6</v>
      </c>
      <c r="Q249" t="s">
        <v>19</v>
      </c>
      <c r="S249">
        <v>14</v>
      </c>
      <c r="T249">
        <v>32.138761643846827</v>
      </c>
      <c r="U249">
        <v>5.67</v>
      </c>
      <c r="W249">
        <f t="shared" si="33"/>
        <v>2</v>
      </c>
      <c r="X249">
        <f t="shared" si="34"/>
        <v>46</v>
      </c>
      <c r="Y249">
        <f t="shared" si="35"/>
        <v>9</v>
      </c>
      <c r="Z249">
        <f t="shared" si="36"/>
        <v>55</v>
      </c>
      <c r="AA249">
        <f t="shared" si="37"/>
        <v>118</v>
      </c>
      <c r="AB249">
        <f t="shared" si="38"/>
        <v>1</v>
      </c>
      <c r="AC249" t="str">
        <f t="shared" si="39"/>
        <v>N</v>
      </c>
      <c r="AD249" t="str">
        <f t="shared" si="40"/>
        <v>W</v>
      </c>
      <c r="AE249">
        <f t="shared" si="41"/>
        <v>2</v>
      </c>
    </row>
    <row r="250" spans="1:31" x14ac:dyDescent="0.25">
      <c r="A250">
        <v>-0.6</v>
      </c>
      <c r="B250">
        <v>14</v>
      </c>
      <c r="C250">
        <v>0</v>
      </c>
      <c r="D250">
        <v>1.2</v>
      </c>
      <c r="E250">
        <v>7.1</v>
      </c>
      <c r="F250">
        <v>41</v>
      </c>
      <c r="G250" t="s">
        <v>26</v>
      </c>
      <c r="H250" t="s">
        <v>33</v>
      </c>
      <c r="I250">
        <v>2</v>
      </c>
      <c r="J250">
        <v>22</v>
      </c>
      <c r="K250">
        <v>86</v>
      </c>
      <c r="L250">
        <v>59</v>
      </c>
      <c r="M250">
        <v>1030</v>
      </c>
      <c r="N250">
        <v>1026.3</v>
      </c>
      <c r="O250">
        <v>5</v>
      </c>
      <c r="P250">
        <v>13.6</v>
      </c>
      <c r="Q250" t="s">
        <v>19</v>
      </c>
      <c r="S250">
        <v>14</v>
      </c>
      <c r="T250">
        <v>32.093613071762427</v>
      </c>
      <c r="U250">
        <v>5.67</v>
      </c>
      <c r="W250">
        <f t="shared" si="33"/>
        <v>22</v>
      </c>
      <c r="X250">
        <f t="shared" si="34"/>
        <v>42.25</v>
      </c>
      <c r="Y250">
        <f t="shared" si="35"/>
        <v>31.1</v>
      </c>
      <c r="Z250">
        <f t="shared" si="36"/>
        <v>59</v>
      </c>
      <c r="AA250">
        <f t="shared" si="37"/>
        <v>62</v>
      </c>
      <c r="AB250">
        <f t="shared" si="38"/>
        <v>48</v>
      </c>
      <c r="AC250" t="str">
        <f t="shared" si="39"/>
        <v>N</v>
      </c>
      <c r="AD250" t="str">
        <f t="shared" si="40"/>
        <v>W</v>
      </c>
      <c r="AE250">
        <f t="shared" si="41"/>
        <v>3</v>
      </c>
    </row>
    <row r="251" spans="1:31" x14ac:dyDescent="0.25">
      <c r="A251">
        <v>3</v>
      </c>
      <c r="B251">
        <v>11.1</v>
      </c>
      <c r="C251">
        <v>0.8</v>
      </c>
      <c r="D251">
        <v>1.4</v>
      </c>
      <c r="E251">
        <v>0.2</v>
      </c>
      <c r="F251">
        <v>35</v>
      </c>
      <c r="G251" t="s">
        <v>35</v>
      </c>
      <c r="H251" t="s">
        <v>24</v>
      </c>
      <c r="I251">
        <v>0</v>
      </c>
      <c r="J251">
        <v>13</v>
      </c>
      <c r="K251">
        <v>99</v>
      </c>
      <c r="L251">
        <v>96</v>
      </c>
      <c r="M251">
        <v>1024.4000000000001</v>
      </c>
      <c r="N251">
        <v>1021.1</v>
      </c>
      <c r="O251">
        <v>7</v>
      </c>
      <c r="P251">
        <v>8.6</v>
      </c>
      <c r="Q251" t="s">
        <v>19</v>
      </c>
      <c r="S251">
        <v>11</v>
      </c>
      <c r="T251">
        <v>32.006249389767618</v>
      </c>
      <c r="U251">
        <v>5.66</v>
      </c>
      <c r="W251">
        <f t="shared" si="33"/>
        <v>13</v>
      </c>
      <c r="X251">
        <f t="shared" si="34"/>
        <v>52</v>
      </c>
      <c r="Y251">
        <f t="shared" si="35"/>
        <v>13.2</v>
      </c>
      <c r="Z251">
        <f t="shared" si="36"/>
        <v>96</v>
      </c>
      <c r="AA251">
        <f t="shared" si="37"/>
        <v>78</v>
      </c>
      <c r="AB251">
        <f t="shared" si="38"/>
        <v>33</v>
      </c>
      <c r="AC251" t="str">
        <f t="shared" si="39"/>
        <v>N</v>
      </c>
      <c r="AD251" t="str">
        <f t="shared" si="40"/>
        <v>N</v>
      </c>
      <c r="AE251">
        <f t="shared" si="41"/>
        <v>2</v>
      </c>
    </row>
    <row r="252" spans="1:31" x14ac:dyDescent="0.25">
      <c r="A252">
        <v>2.9</v>
      </c>
      <c r="B252">
        <v>9.5</v>
      </c>
      <c r="C252">
        <v>16.8</v>
      </c>
      <c r="D252">
        <v>1.4</v>
      </c>
      <c r="E252">
        <v>6.5</v>
      </c>
      <c r="F252">
        <v>35</v>
      </c>
      <c r="G252" t="s">
        <v>35</v>
      </c>
      <c r="H252" t="s">
        <v>17</v>
      </c>
      <c r="I252">
        <v>0</v>
      </c>
      <c r="J252">
        <v>15</v>
      </c>
      <c r="K252">
        <v>93</v>
      </c>
      <c r="L252">
        <v>72</v>
      </c>
      <c r="M252">
        <v>1021.6</v>
      </c>
      <c r="N252">
        <v>1019.6</v>
      </c>
      <c r="O252">
        <v>6</v>
      </c>
      <c r="P252">
        <v>7.4</v>
      </c>
      <c r="Q252" t="s">
        <v>20</v>
      </c>
      <c r="S252">
        <v>10</v>
      </c>
      <c r="T252">
        <v>31.962478001556764</v>
      </c>
      <c r="U252">
        <v>5.65</v>
      </c>
      <c r="W252">
        <f t="shared" si="33"/>
        <v>15</v>
      </c>
      <c r="X252">
        <f t="shared" si="34"/>
        <v>45</v>
      </c>
      <c r="Y252">
        <f t="shared" si="35"/>
        <v>21.5</v>
      </c>
      <c r="Z252">
        <f t="shared" si="36"/>
        <v>72</v>
      </c>
      <c r="AA252">
        <f t="shared" si="37"/>
        <v>78</v>
      </c>
      <c r="AB252">
        <f t="shared" si="38"/>
        <v>33</v>
      </c>
      <c r="AC252" t="str">
        <f t="shared" si="39"/>
        <v>Y</v>
      </c>
      <c r="AD252" t="str">
        <f t="shared" si="40"/>
        <v>W</v>
      </c>
      <c r="AE252">
        <f t="shared" si="41"/>
        <v>2</v>
      </c>
    </row>
    <row r="253" spans="1:31" x14ac:dyDescent="0.25">
      <c r="A253">
        <v>-1.3</v>
      </c>
      <c r="B253">
        <v>8.8000000000000007</v>
      </c>
      <c r="C253">
        <v>0</v>
      </c>
      <c r="D253">
        <v>0.8</v>
      </c>
      <c r="E253">
        <v>2.8</v>
      </c>
      <c r="F253">
        <v>39</v>
      </c>
      <c r="G253" t="s">
        <v>17</v>
      </c>
      <c r="H253" t="s">
        <v>17</v>
      </c>
      <c r="I253">
        <v>9</v>
      </c>
      <c r="J253">
        <v>15</v>
      </c>
      <c r="K253">
        <v>95</v>
      </c>
      <c r="L253">
        <v>68</v>
      </c>
      <c r="M253">
        <v>1020</v>
      </c>
      <c r="N253">
        <v>1016.8</v>
      </c>
      <c r="O253">
        <v>7</v>
      </c>
      <c r="P253">
        <v>8</v>
      </c>
      <c r="Q253" t="s">
        <v>19</v>
      </c>
      <c r="S253">
        <v>9</v>
      </c>
      <c r="T253">
        <v>31.937438845342623</v>
      </c>
      <c r="U253">
        <v>5.65</v>
      </c>
      <c r="W253">
        <f t="shared" si="33"/>
        <v>15</v>
      </c>
      <c r="X253">
        <f t="shared" si="34"/>
        <v>46.75</v>
      </c>
      <c r="Y253">
        <f t="shared" si="35"/>
        <v>26.8</v>
      </c>
      <c r="Z253">
        <f t="shared" si="36"/>
        <v>68</v>
      </c>
      <c r="AA253">
        <f t="shared" si="37"/>
        <v>70</v>
      </c>
      <c r="AB253">
        <f t="shared" si="38"/>
        <v>38</v>
      </c>
      <c r="AC253" t="str">
        <f t="shared" si="39"/>
        <v>N</v>
      </c>
      <c r="AD253" t="str">
        <f t="shared" si="40"/>
        <v>W</v>
      </c>
      <c r="AE253">
        <f t="shared" si="41"/>
        <v>2</v>
      </c>
    </row>
    <row r="254" spans="1:31" x14ac:dyDescent="0.25">
      <c r="A254">
        <v>1.8</v>
      </c>
      <c r="B254">
        <v>8.6999999999999993</v>
      </c>
      <c r="C254">
        <v>0</v>
      </c>
      <c r="D254">
        <v>1.8</v>
      </c>
      <c r="E254">
        <v>1.2</v>
      </c>
      <c r="F254">
        <v>65</v>
      </c>
      <c r="G254" t="s">
        <v>17</v>
      </c>
      <c r="H254" t="s">
        <v>17</v>
      </c>
      <c r="I254">
        <v>31</v>
      </c>
      <c r="J254">
        <v>35</v>
      </c>
      <c r="K254">
        <v>83</v>
      </c>
      <c r="L254">
        <v>85</v>
      </c>
      <c r="M254">
        <v>1014.6</v>
      </c>
      <c r="N254">
        <v>1010.5</v>
      </c>
      <c r="O254">
        <v>7</v>
      </c>
      <c r="P254">
        <v>6.9</v>
      </c>
      <c r="Q254" t="s">
        <v>19</v>
      </c>
      <c r="S254">
        <v>9</v>
      </c>
      <c r="T254">
        <v>31.852786377332833</v>
      </c>
      <c r="U254">
        <v>5.64</v>
      </c>
      <c r="W254">
        <f t="shared" si="33"/>
        <v>35</v>
      </c>
      <c r="X254">
        <f t="shared" si="34"/>
        <v>58.5</v>
      </c>
      <c r="Y254">
        <f t="shared" si="35"/>
        <v>67.2</v>
      </c>
      <c r="Z254">
        <f t="shared" si="36"/>
        <v>83</v>
      </c>
      <c r="AA254">
        <f t="shared" si="37"/>
        <v>9</v>
      </c>
      <c r="AB254">
        <f t="shared" si="38"/>
        <v>101</v>
      </c>
      <c r="AC254" t="str">
        <f t="shared" si="39"/>
        <v>N</v>
      </c>
      <c r="AD254" t="str">
        <f t="shared" si="40"/>
        <v>W</v>
      </c>
      <c r="AE254">
        <f t="shared" si="41"/>
        <v>2</v>
      </c>
    </row>
    <row r="255" spans="1:31" x14ac:dyDescent="0.25">
      <c r="A255">
        <v>2.9</v>
      </c>
      <c r="B255">
        <v>8.4</v>
      </c>
      <c r="C255">
        <v>1.6</v>
      </c>
      <c r="D255">
        <v>1.4</v>
      </c>
      <c r="E255">
        <v>7.7</v>
      </c>
      <c r="F255">
        <v>59</v>
      </c>
      <c r="G255" t="s">
        <v>17</v>
      </c>
      <c r="H255" t="s">
        <v>26</v>
      </c>
      <c r="I255">
        <v>20</v>
      </c>
      <c r="J255">
        <v>31</v>
      </c>
      <c r="K255">
        <v>76</v>
      </c>
      <c r="L255">
        <v>66</v>
      </c>
      <c r="M255">
        <v>1016.7</v>
      </c>
      <c r="N255">
        <v>1018.2</v>
      </c>
      <c r="O255">
        <v>7</v>
      </c>
      <c r="P255">
        <v>7.1</v>
      </c>
      <c r="Q255" t="s">
        <v>20</v>
      </c>
      <c r="S255">
        <v>8</v>
      </c>
      <c r="T255">
        <v>31.885733486937383</v>
      </c>
      <c r="U255">
        <v>5.65</v>
      </c>
      <c r="W255">
        <f t="shared" si="33"/>
        <v>31</v>
      </c>
      <c r="X255">
        <f t="shared" si="34"/>
        <v>48.25</v>
      </c>
      <c r="Y255">
        <f t="shared" si="35"/>
        <v>58.7</v>
      </c>
      <c r="Z255">
        <f t="shared" si="36"/>
        <v>66</v>
      </c>
      <c r="AA255">
        <f t="shared" si="37"/>
        <v>13</v>
      </c>
      <c r="AB255">
        <f t="shared" si="38"/>
        <v>95</v>
      </c>
      <c r="AC255" t="str">
        <f t="shared" si="39"/>
        <v>Y</v>
      </c>
      <c r="AD255" t="str">
        <f t="shared" si="40"/>
        <v>W</v>
      </c>
      <c r="AE255">
        <f t="shared" si="41"/>
        <v>2</v>
      </c>
    </row>
    <row r="256" spans="1:31" x14ac:dyDescent="0.25">
      <c r="A256">
        <v>-2.6</v>
      </c>
      <c r="B256">
        <v>11.1</v>
      </c>
      <c r="C256">
        <v>0.2</v>
      </c>
      <c r="D256">
        <v>1.4</v>
      </c>
      <c r="E256">
        <v>6.5</v>
      </c>
      <c r="F256">
        <v>20</v>
      </c>
      <c r="G256" t="s">
        <v>22</v>
      </c>
      <c r="H256" t="s">
        <v>33</v>
      </c>
      <c r="I256">
        <v>2</v>
      </c>
      <c r="J256">
        <v>7</v>
      </c>
      <c r="K256">
        <v>87</v>
      </c>
      <c r="L256">
        <v>54</v>
      </c>
      <c r="M256">
        <v>1027.0999999999999</v>
      </c>
      <c r="N256">
        <v>1022.7</v>
      </c>
      <c r="O256">
        <v>1</v>
      </c>
      <c r="P256">
        <v>9.9</v>
      </c>
      <c r="Q256" t="s">
        <v>19</v>
      </c>
      <c r="S256">
        <v>11</v>
      </c>
      <c r="T256">
        <v>32.048400896144564</v>
      </c>
      <c r="U256">
        <v>5.66</v>
      </c>
      <c r="W256">
        <f t="shared" si="33"/>
        <v>7</v>
      </c>
      <c r="X256">
        <f t="shared" si="34"/>
        <v>37.5</v>
      </c>
      <c r="Y256">
        <f t="shared" si="35"/>
        <v>15.5</v>
      </c>
      <c r="Z256">
        <f t="shared" si="36"/>
        <v>54</v>
      </c>
      <c r="AA256">
        <f t="shared" si="37"/>
        <v>109</v>
      </c>
      <c r="AB256">
        <f t="shared" si="38"/>
        <v>2</v>
      </c>
      <c r="AC256" t="str">
        <f t="shared" si="39"/>
        <v>N</v>
      </c>
      <c r="AD256" t="str">
        <f t="shared" si="40"/>
        <v>W</v>
      </c>
      <c r="AE256">
        <f t="shared" si="41"/>
        <v>1</v>
      </c>
    </row>
    <row r="257" spans="1:31" x14ac:dyDescent="0.25">
      <c r="A257">
        <v>0.5</v>
      </c>
      <c r="B257">
        <v>11</v>
      </c>
      <c r="C257">
        <v>0</v>
      </c>
      <c r="D257">
        <v>1</v>
      </c>
      <c r="E257">
        <v>0.9</v>
      </c>
      <c r="F257">
        <v>31</v>
      </c>
      <c r="G257" t="s">
        <v>35</v>
      </c>
      <c r="H257" t="s">
        <v>17</v>
      </c>
      <c r="I257">
        <v>0</v>
      </c>
      <c r="J257">
        <v>15</v>
      </c>
      <c r="K257">
        <v>92</v>
      </c>
      <c r="L257">
        <v>69</v>
      </c>
      <c r="M257">
        <v>1024.4000000000001</v>
      </c>
      <c r="N257">
        <v>1021.9</v>
      </c>
      <c r="O257">
        <v>7</v>
      </c>
      <c r="P257">
        <v>10.7</v>
      </c>
      <c r="Q257" t="s">
        <v>19</v>
      </c>
      <c r="S257">
        <v>11</v>
      </c>
      <c r="T257">
        <v>32.006249389767618</v>
      </c>
      <c r="U257">
        <v>5.66</v>
      </c>
      <c r="W257">
        <f t="shared" si="33"/>
        <v>15</v>
      </c>
      <c r="X257">
        <f t="shared" si="34"/>
        <v>44</v>
      </c>
      <c r="Y257">
        <f t="shared" si="35"/>
        <v>15.9</v>
      </c>
      <c r="Z257">
        <f t="shared" si="36"/>
        <v>69</v>
      </c>
      <c r="AA257">
        <f t="shared" si="37"/>
        <v>83</v>
      </c>
      <c r="AB257">
        <f t="shared" si="38"/>
        <v>17</v>
      </c>
      <c r="AC257" t="str">
        <f t="shared" si="39"/>
        <v>N</v>
      </c>
      <c r="AD257" t="str">
        <f t="shared" si="40"/>
        <v>W</v>
      </c>
      <c r="AE257">
        <f t="shared" si="41"/>
        <v>2</v>
      </c>
    </row>
    <row r="258" spans="1:31" x14ac:dyDescent="0.25">
      <c r="A258">
        <v>2.7</v>
      </c>
      <c r="B258">
        <v>16.5</v>
      </c>
      <c r="C258">
        <v>0</v>
      </c>
      <c r="D258">
        <v>0.6</v>
      </c>
      <c r="E258">
        <v>8.9</v>
      </c>
      <c r="F258">
        <v>41</v>
      </c>
      <c r="G258" t="s">
        <v>18</v>
      </c>
      <c r="H258" t="s">
        <v>33</v>
      </c>
      <c r="I258">
        <v>7</v>
      </c>
      <c r="J258">
        <v>22</v>
      </c>
      <c r="K258">
        <v>93</v>
      </c>
      <c r="L258">
        <v>51</v>
      </c>
      <c r="M258">
        <v>1021.8</v>
      </c>
      <c r="N258">
        <v>1019</v>
      </c>
      <c r="O258">
        <v>5</v>
      </c>
      <c r="P258">
        <v>15.9</v>
      </c>
      <c r="Q258" t="s">
        <v>19</v>
      </c>
      <c r="S258">
        <v>17</v>
      </c>
      <c r="T258">
        <v>31.965606517005117</v>
      </c>
      <c r="U258">
        <v>5.65</v>
      </c>
      <c r="W258">
        <f t="shared" ref="W258:W321" si="42">MAX(I258:J258)</f>
        <v>22</v>
      </c>
      <c r="X258">
        <f t="shared" ref="X258:X321" si="43">AVERAGE(I258:J258,K258:L258)</f>
        <v>43.25</v>
      </c>
      <c r="Y258">
        <f t="shared" ref="Y258:Y321" si="44">SUM(I258,E258,J258)</f>
        <v>37.9</v>
      </c>
      <c r="Z258">
        <f t="shared" ref="Z258:Z321" si="45">MEDIAN(D258,L258,K258)</f>
        <v>51</v>
      </c>
      <c r="AA258">
        <f t="shared" ref="AA258:AA321" si="46">RANK(F258,F258:F623,0)</f>
        <v>60</v>
      </c>
      <c r="AB258">
        <f t="shared" ref="AB258:AB321" si="47">RANK(F258,F258:F623,1)</f>
        <v>43</v>
      </c>
      <c r="AC258" t="str">
        <f t="shared" ref="AC258:AC321" si="48">LEFT(Q258,1)</f>
        <v>N</v>
      </c>
      <c r="AD258" t="str">
        <f t="shared" ref="AD258:AD321" si="49">RIGHT(H258,1)</f>
        <v>W</v>
      </c>
      <c r="AE258">
        <f t="shared" ref="AE258:AE321" si="50">LEN(G258)</f>
        <v>2</v>
      </c>
    </row>
    <row r="259" spans="1:31" x14ac:dyDescent="0.25">
      <c r="A259">
        <v>-1.7</v>
      </c>
      <c r="B259">
        <v>13.6</v>
      </c>
      <c r="C259">
        <v>0</v>
      </c>
      <c r="D259">
        <v>1.8</v>
      </c>
      <c r="E259">
        <v>5.2</v>
      </c>
      <c r="F259">
        <v>28</v>
      </c>
      <c r="G259" t="s">
        <v>35</v>
      </c>
      <c r="H259" t="s">
        <v>33</v>
      </c>
      <c r="I259" t="s">
        <v>35</v>
      </c>
      <c r="J259">
        <v>17</v>
      </c>
      <c r="K259">
        <v>83</v>
      </c>
      <c r="L259">
        <v>46</v>
      </c>
      <c r="M259">
        <v>1023</v>
      </c>
      <c r="N259">
        <v>1020.1</v>
      </c>
      <c r="O259">
        <v>1</v>
      </c>
      <c r="P259">
        <v>13.3</v>
      </c>
      <c r="Q259" t="s">
        <v>19</v>
      </c>
      <c r="S259">
        <v>14</v>
      </c>
      <c r="T259">
        <v>31.984371183438952</v>
      </c>
      <c r="U259">
        <v>5.66</v>
      </c>
      <c r="W259">
        <f t="shared" si="42"/>
        <v>17</v>
      </c>
      <c r="X259">
        <f t="shared" si="43"/>
        <v>48.666666666666664</v>
      </c>
      <c r="Y259">
        <f t="shared" si="44"/>
        <v>22.2</v>
      </c>
      <c r="Z259">
        <f t="shared" si="45"/>
        <v>46</v>
      </c>
      <c r="AA259">
        <f t="shared" si="46"/>
        <v>99</v>
      </c>
      <c r="AB259">
        <f t="shared" si="47"/>
        <v>6</v>
      </c>
      <c r="AC259" t="str">
        <f t="shared" si="48"/>
        <v>N</v>
      </c>
      <c r="AD259" t="str">
        <f t="shared" si="49"/>
        <v>W</v>
      </c>
      <c r="AE259">
        <f t="shared" si="50"/>
        <v>2</v>
      </c>
    </row>
    <row r="260" spans="1:31" x14ac:dyDescent="0.25">
      <c r="A260">
        <v>-0.9</v>
      </c>
      <c r="B260">
        <v>12.8</v>
      </c>
      <c r="C260">
        <v>0.2</v>
      </c>
      <c r="D260">
        <v>2</v>
      </c>
      <c r="E260">
        <v>1.9</v>
      </c>
      <c r="F260">
        <v>17</v>
      </c>
      <c r="G260" t="s">
        <v>29</v>
      </c>
      <c r="H260" t="s">
        <v>33</v>
      </c>
      <c r="I260">
        <v>6</v>
      </c>
      <c r="J260">
        <v>9</v>
      </c>
      <c r="K260">
        <v>99</v>
      </c>
      <c r="L260">
        <v>62</v>
      </c>
      <c r="M260">
        <v>1024.0999999999999</v>
      </c>
      <c r="N260">
        <v>1020.8</v>
      </c>
      <c r="O260">
        <v>7</v>
      </c>
      <c r="P260">
        <v>12.1</v>
      </c>
      <c r="Q260" t="s">
        <v>19</v>
      </c>
      <c r="S260">
        <v>13</v>
      </c>
      <c r="T260">
        <v>32.001562461854888</v>
      </c>
      <c r="U260">
        <v>5.66</v>
      </c>
      <c r="W260">
        <f t="shared" si="42"/>
        <v>9</v>
      </c>
      <c r="X260">
        <f t="shared" si="43"/>
        <v>44</v>
      </c>
      <c r="Y260">
        <f t="shared" si="44"/>
        <v>16.899999999999999</v>
      </c>
      <c r="Z260">
        <f t="shared" si="45"/>
        <v>62</v>
      </c>
      <c r="AA260">
        <f t="shared" si="46"/>
        <v>107</v>
      </c>
      <c r="AB260">
        <f t="shared" si="47"/>
        <v>1</v>
      </c>
      <c r="AC260" t="str">
        <f t="shared" si="48"/>
        <v>N</v>
      </c>
      <c r="AD260" t="str">
        <f t="shared" si="49"/>
        <v>W</v>
      </c>
      <c r="AE260">
        <f t="shared" si="50"/>
        <v>2</v>
      </c>
    </row>
    <row r="261" spans="1:31" x14ac:dyDescent="0.25">
      <c r="A261">
        <v>-1.8</v>
      </c>
      <c r="B261">
        <v>11.5</v>
      </c>
      <c r="C261">
        <v>0</v>
      </c>
      <c r="D261">
        <v>0.6</v>
      </c>
      <c r="E261">
        <v>4.7</v>
      </c>
      <c r="F261">
        <v>41</v>
      </c>
      <c r="G261" t="s">
        <v>35</v>
      </c>
      <c r="H261" t="s">
        <v>33</v>
      </c>
      <c r="I261">
        <v>0</v>
      </c>
      <c r="J261">
        <v>24</v>
      </c>
      <c r="K261">
        <v>99</v>
      </c>
      <c r="L261">
        <v>55</v>
      </c>
      <c r="M261">
        <v>1019.7</v>
      </c>
      <c r="N261">
        <v>1013.9</v>
      </c>
      <c r="O261">
        <v>7</v>
      </c>
      <c r="P261">
        <v>11</v>
      </c>
      <c r="Q261" t="s">
        <v>19</v>
      </c>
      <c r="S261">
        <v>12</v>
      </c>
      <c r="T261">
        <v>31.932741817764413</v>
      </c>
      <c r="U261">
        <v>5.65</v>
      </c>
      <c r="W261">
        <f t="shared" si="42"/>
        <v>24</v>
      </c>
      <c r="X261">
        <f t="shared" si="43"/>
        <v>44.5</v>
      </c>
      <c r="Y261">
        <f t="shared" si="44"/>
        <v>28.7</v>
      </c>
      <c r="Z261">
        <f t="shared" si="45"/>
        <v>55</v>
      </c>
      <c r="AA261">
        <f t="shared" si="46"/>
        <v>60</v>
      </c>
      <c r="AB261">
        <f t="shared" si="47"/>
        <v>41</v>
      </c>
      <c r="AC261" t="str">
        <f t="shared" si="48"/>
        <v>N</v>
      </c>
      <c r="AD261" t="str">
        <f t="shared" si="49"/>
        <v>W</v>
      </c>
      <c r="AE261">
        <f t="shared" si="50"/>
        <v>2</v>
      </c>
    </row>
    <row r="262" spans="1:31" x14ac:dyDescent="0.25">
      <c r="A262">
        <v>1.3</v>
      </c>
      <c r="B262">
        <v>10.6</v>
      </c>
      <c r="C262">
        <v>0</v>
      </c>
      <c r="D262">
        <v>0.8</v>
      </c>
      <c r="E262">
        <v>5.6</v>
      </c>
      <c r="F262">
        <v>46</v>
      </c>
      <c r="G262" t="s">
        <v>33</v>
      </c>
      <c r="H262" t="s">
        <v>26</v>
      </c>
      <c r="I262">
        <v>24</v>
      </c>
      <c r="J262">
        <v>33</v>
      </c>
      <c r="K262">
        <v>75</v>
      </c>
      <c r="L262">
        <v>73</v>
      </c>
      <c r="M262">
        <v>1010.8</v>
      </c>
      <c r="N262">
        <v>1009.4</v>
      </c>
      <c r="O262">
        <v>3</v>
      </c>
      <c r="P262">
        <v>8.1999999999999993</v>
      </c>
      <c r="Q262" t="s">
        <v>19</v>
      </c>
      <c r="S262">
        <v>11</v>
      </c>
      <c r="T262">
        <v>31.79308100829487</v>
      </c>
      <c r="U262">
        <v>5.64</v>
      </c>
      <c r="W262">
        <f t="shared" si="42"/>
        <v>33</v>
      </c>
      <c r="X262">
        <f t="shared" si="43"/>
        <v>51.25</v>
      </c>
      <c r="Y262">
        <f t="shared" si="44"/>
        <v>62.6</v>
      </c>
      <c r="Z262">
        <f t="shared" si="45"/>
        <v>73</v>
      </c>
      <c r="AA262">
        <f t="shared" si="46"/>
        <v>38</v>
      </c>
      <c r="AB262">
        <f t="shared" si="47"/>
        <v>60</v>
      </c>
      <c r="AC262" t="str">
        <f t="shared" si="48"/>
        <v>N</v>
      </c>
      <c r="AD262" t="str">
        <f t="shared" si="49"/>
        <v>W</v>
      </c>
      <c r="AE262">
        <f t="shared" si="50"/>
        <v>3</v>
      </c>
    </row>
    <row r="263" spans="1:31" x14ac:dyDescent="0.25">
      <c r="A263">
        <v>2.4</v>
      </c>
      <c r="B263">
        <v>11.6</v>
      </c>
      <c r="C263">
        <v>1.2</v>
      </c>
      <c r="D263">
        <v>2.2000000000000002</v>
      </c>
      <c r="E263">
        <v>8.1</v>
      </c>
      <c r="F263">
        <v>35</v>
      </c>
      <c r="G263" t="s">
        <v>33</v>
      </c>
      <c r="H263" t="s">
        <v>17</v>
      </c>
      <c r="I263">
        <v>15</v>
      </c>
      <c r="J263">
        <v>22</v>
      </c>
      <c r="K263">
        <v>71</v>
      </c>
      <c r="L263">
        <v>48</v>
      </c>
      <c r="M263">
        <v>1016.7</v>
      </c>
      <c r="N263">
        <v>1014.9</v>
      </c>
      <c r="O263">
        <v>1</v>
      </c>
      <c r="P263">
        <v>10.7</v>
      </c>
      <c r="Q263" t="s">
        <v>20</v>
      </c>
      <c r="S263">
        <v>12</v>
      </c>
      <c r="T263">
        <v>31.885733486937383</v>
      </c>
      <c r="U263">
        <v>5.65</v>
      </c>
      <c r="W263">
        <f t="shared" si="42"/>
        <v>22</v>
      </c>
      <c r="X263">
        <f t="shared" si="43"/>
        <v>39</v>
      </c>
      <c r="Y263">
        <f t="shared" si="44"/>
        <v>45.1</v>
      </c>
      <c r="Z263">
        <f t="shared" si="45"/>
        <v>48</v>
      </c>
      <c r="AA263">
        <f t="shared" si="46"/>
        <v>72</v>
      </c>
      <c r="AB263">
        <f t="shared" si="47"/>
        <v>29</v>
      </c>
      <c r="AC263" t="str">
        <f t="shared" si="48"/>
        <v>Y</v>
      </c>
      <c r="AD263" t="str">
        <f t="shared" si="49"/>
        <v>W</v>
      </c>
      <c r="AE263">
        <f t="shared" si="50"/>
        <v>3</v>
      </c>
    </row>
    <row r="264" spans="1:31" x14ac:dyDescent="0.25">
      <c r="A264">
        <v>-1.1000000000000001</v>
      </c>
      <c r="B264">
        <v>11</v>
      </c>
      <c r="C264">
        <v>0.2</v>
      </c>
      <c r="D264">
        <v>1.8</v>
      </c>
      <c r="E264">
        <v>0</v>
      </c>
      <c r="F264">
        <v>41</v>
      </c>
      <c r="G264" t="s">
        <v>35</v>
      </c>
      <c r="H264" t="s">
        <v>32</v>
      </c>
      <c r="I264">
        <v>0</v>
      </c>
      <c r="J264">
        <v>6</v>
      </c>
      <c r="K264">
        <v>92</v>
      </c>
      <c r="L264">
        <v>87</v>
      </c>
      <c r="M264">
        <v>1014.4</v>
      </c>
      <c r="N264">
        <v>1009</v>
      </c>
      <c r="O264">
        <v>7</v>
      </c>
      <c r="P264">
        <v>8.6999999999999993</v>
      </c>
      <c r="Q264" t="s">
        <v>19</v>
      </c>
      <c r="S264">
        <v>11</v>
      </c>
      <c r="T264">
        <v>31.849646779831012</v>
      </c>
      <c r="U264">
        <v>5.64</v>
      </c>
      <c r="W264">
        <f t="shared" si="42"/>
        <v>6</v>
      </c>
      <c r="X264">
        <f t="shared" si="43"/>
        <v>46.25</v>
      </c>
      <c r="Y264">
        <f t="shared" si="44"/>
        <v>6</v>
      </c>
      <c r="Z264">
        <f t="shared" si="45"/>
        <v>87</v>
      </c>
      <c r="AA264">
        <f t="shared" si="46"/>
        <v>59</v>
      </c>
      <c r="AB264">
        <f t="shared" si="47"/>
        <v>40</v>
      </c>
      <c r="AC264" t="str">
        <f t="shared" si="48"/>
        <v>N</v>
      </c>
      <c r="AD264" t="str">
        <f t="shared" si="49"/>
        <v>E</v>
      </c>
      <c r="AE264">
        <f t="shared" si="50"/>
        <v>2</v>
      </c>
    </row>
    <row r="265" spans="1:31" x14ac:dyDescent="0.25">
      <c r="A265">
        <v>2.2999999999999998</v>
      </c>
      <c r="B265">
        <v>11.6</v>
      </c>
      <c r="C265">
        <v>19.2</v>
      </c>
      <c r="D265">
        <v>1.8</v>
      </c>
      <c r="E265">
        <v>7.5</v>
      </c>
      <c r="F265">
        <v>54</v>
      </c>
      <c r="G265" t="s">
        <v>26</v>
      </c>
      <c r="H265" t="s">
        <v>26</v>
      </c>
      <c r="I265">
        <v>26</v>
      </c>
      <c r="J265">
        <v>31</v>
      </c>
      <c r="K265">
        <v>78</v>
      </c>
      <c r="L265">
        <v>56</v>
      </c>
      <c r="M265">
        <v>1006.9</v>
      </c>
      <c r="N265">
        <v>1010.3</v>
      </c>
      <c r="O265">
        <v>7</v>
      </c>
      <c r="P265">
        <v>11.2</v>
      </c>
      <c r="Q265" t="s">
        <v>20</v>
      </c>
      <c r="S265">
        <v>12</v>
      </c>
      <c r="T265">
        <v>31.731687632396735</v>
      </c>
      <c r="U265">
        <v>5.63</v>
      </c>
      <c r="W265">
        <f t="shared" si="42"/>
        <v>31</v>
      </c>
      <c r="X265">
        <f t="shared" si="43"/>
        <v>47.75</v>
      </c>
      <c r="Y265">
        <f t="shared" si="44"/>
        <v>64.5</v>
      </c>
      <c r="Z265">
        <f t="shared" si="45"/>
        <v>56</v>
      </c>
      <c r="AA265">
        <f t="shared" si="46"/>
        <v>20</v>
      </c>
      <c r="AB265">
        <f t="shared" si="47"/>
        <v>82</v>
      </c>
      <c r="AC265" t="str">
        <f t="shared" si="48"/>
        <v>Y</v>
      </c>
      <c r="AD265" t="str">
        <f t="shared" si="49"/>
        <v>W</v>
      </c>
      <c r="AE265">
        <f t="shared" si="50"/>
        <v>3</v>
      </c>
    </row>
    <row r="266" spans="1:31" x14ac:dyDescent="0.25">
      <c r="A266">
        <v>-2.2000000000000002</v>
      </c>
      <c r="B266">
        <v>11.6</v>
      </c>
      <c r="C266">
        <v>0</v>
      </c>
      <c r="D266">
        <v>1.4</v>
      </c>
      <c r="E266">
        <v>9.1999999999999993</v>
      </c>
      <c r="F266">
        <v>39</v>
      </c>
      <c r="G266" t="s">
        <v>22</v>
      </c>
      <c r="H266" t="s">
        <v>34</v>
      </c>
      <c r="I266">
        <v>2</v>
      </c>
      <c r="J266">
        <v>28</v>
      </c>
      <c r="K266">
        <v>68</v>
      </c>
      <c r="L266">
        <v>33</v>
      </c>
      <c r="M266">
        <v>1025.7</v>
      </c>
      <c r="N266">
        <v>1025.8</v>
      </c>
      <c r="O266">
        <v>1</v>
      </c>
      <c r="P266">
        <v>11</v>
      </c>
      <c r="Q266" t="s">
        <v>19</v>
      </c>
      <c r="S266">
        <v>12</v>
      </c>
      <c r="T266">
        <v>32.026551484666598</v>
      </c>
      <c r="U266">
        <v>5.66</v>
      </c>
      <c r="W266">
        <f t="shared" si="42"/>
        <v>28</v>
      </c>
      <c r="X266">
        <f t="shared" si="43"/>
        <v>32.75</v>
      </c>
      <c r="Y266">
        <f t="shared" si="44"/>
        <v>39.200000000000003</v>
      </c>
      <c r="Z266">
        <f t="shared" si="45"/>
        <v>33</v>
      </c>
      <c r="AA266">
        <f t="shared" si="46"/>
        <v>63</v>
      </c>
      <c r="AB266">
        <f t="shared" si="47"/>
        <v>33</v>
      </c>
      <c r="AC266" t="str">
        <f t="shared" si="48"/>
        <v>N</v>
      </c>
      <c r="AD266" t="str">
        <f t="shared" si="49"/>
        <v>W</v>
      </c>
      <c r="AE266">
        <f t="shared" si="50"/>
        <v>1</v>
      </c>
    </row>
    <row r="267" spans="1:31" x14ac:dyDescent="0.25">
      <c r="A267">
        <v>-3.5</v>
      </c>
      <c r="B267">
        <v>11.2</v>
      </c>
      <c r="C267">
        <v>0</v>
      </c>
      <c r="D267">
        <v>1.6</v>
      </c>
      <c r="E267">
        <v>7.7</v>
      </c>
      <c r="F267">
        <v>26</v>
      </c>
      <c r="G267" t="s">
        <v>24</v>
      </c>
      <c r="H267" t="s">
        <v>28</v>
      </c>
      <c r="I267">
        <v>6</v>
      </c>
      <c r="J267">
        <v>11</v>
      </c>
      <c r="K267">
        <v>76</v>
      </c>
      <c r="L267">
        <v>48</v>
      </c>
      <c r="M267">
        <v>1033.5</v>
      </c>
      <c r="N267">
        <v>1031.0999999999999</v>
      </c>
      <c r="O267">
        <v>1</v>
      </c>
      <c r="P267">
        <v>10.1</v>
      </c>
      <c r="Q267" t="s">
        <v>19</v>
      </c>
      <c r="S267">
        <v>11</v>
      </c>
      <c r="T267">
        <v>32.148094811357019</v>
      </c>
      <c r="U267">
        <v>5.67</v>
      </c>
      <c r="W267">
        <f t="shared" si="42"/>
        <v>11</v>
      </c>
      <c r="X267">
        <f t="shared" si="43"/>
        <v>35.25</v>
      </c>
      <c r="Y267">
        <f t="shared" si="44"/>
        <v>24.7</v>
      </c>
      <c r="Z267">
        <f t="shared" si="45"/>
        <v>48</v>
      </c>
      <c r="AA267">
        <f t="shared" si="46"/>
        <v>97</v>
      </c>
      <c r="AB267">
        <f t="shared" si="47"/>
        <v>3</v>
      </c>
      <c r="AC267" t="str">
        <f t="shared" si="48"/>
        <v>N</v>
      </c>
      <c r="AD267" t="str">
        <f t="shared" si="49"/>
        <v>E</v>
      </c>
      <c r="AE267">
        <f t="shared" si="50"/>
        <v>1</v>
      </c>
    </row>
    <row r="268" spans="1:31" x14ac:dyDescent="0.25">
      <c r="A268">
        <v>-1</v>
      </c>
      <c r="B268">
        <v>12.2</v>
      </c>
      <c r="C268">
        <v>0</v>
      </c>
      <c r="D268">
        <v>1.6</v>
      </c>
      <c r="E268">
        <v>8.4</v>
      </c>
      <c r="F268">
        <v>30</v>
      </c>
      <c r="G268" t="s">
        <v>29</v>
      </c>
      <c r="H268" t="s">
        <v>22</v>
      </c>
      <c r="I268">
        <v>7</v>
      </c>
      <c r="J268">
        <v>13</v>
      </c>
      <c r="K268">
        <v>82</v>
      </c>
      <c r="L268">
        <v>51</v>
      </c>
      <c r="M268">
        <v>1032.2</v>
      </c>
      <c r="N268">
        <v>1027.4000000000001</v>
      </c>
      <c r="O268">
        <v>3</v>
      </c>
      <c r="P268">
        <v>10.8</v>
      </c>
      <c r="Q268" t="s">
        <v>19</v>
      </c>
      <c r="S268">
        <v>12</v>
      </c>
      <c r="T268">
        <v>32.127869521647405</v>
      </c>
      <c r="U268">
        <v>5.67</v>
      </c>
      <c r="W268">
        <f t="shared" si="42"/>
        <v>13</v>
      </c>
      <c r="X268">
        <f t="shared" si="43"/>
        <v>38.25</v>
      </c>
      <c r="Y268">
        <f t="shared" si="44"/>
        <v>28.4</v>
      </c>
      <c r="Z268">
        <f t="shared" si="45"/>
        <v>51</v>
      </c>
      <c r="AA268">
        <f t="shared" si="46"/>
        <v>87</v>
      </c>
      <c r="AB268">
        <f t="shared" si="47"/>
        <v>8</v>
      </c>
      <c r="AC268" t="str">
        <f t="shared" si="48"/>
        <v>N</v>
      </c>
      <c r="AD268" t="str">
        <f t="shared" si="49"/>
        <v>E</v>
      </c>
      <c r="AE268">
        <f t="shared" si="50"/>
        <v>2</v>
      </c>
    </row>
    <row r="269" spans="1:31" x14ac:dyDescent="0.25">
      <c r="A269">
        <v>-2.1</v>
      </c>
      <c r="B269">
        <v>12.9</v>
      </c>
      <c r="C269">
        <v>0</v>
      </c>
      <c r="D269">
        <v>1.2</v>
      </c>
      <c r="E269">
        <v>8.1</v>
      </c>
      <c r="F269">
        <v>31</v>
      </c>
      <c r="G269" t="s">
        <v>29</v>
      </c>
      <c r="H269" t="s">
        <v>29</v>
      </c>
      <c r="I269">
        <v>7</v>
      </c>
      <c r="J269">
        <v>13</v>
      </c>
      <c r="K269">
        <v>92</v>
      </c>
      <c r="L269">
        <v>25</v>
      </c>
      <c r="M269">
        <v>1025.7</v>
      </c>
      <c r="N269">
        <v>1020.9</v>
      </c>
      <c r="O269">
        <v>2</v>
      </c>
      <c r="P269">
        <v>12.3</v>
      </c>
      <c r="Q269" t="s">
        <v>19</v>
      </c>
      <c r="S269">
        <v>13</v>
      </c>
      <c r="T269">
        <v>32.026551484666598</v>
      </c>
      <c r="U269">
        <v>5.66</v>
      </c>
      <c r="W269">
        <f t="shared" si="42"/>
        <v>13</v>
      </c>
      <c r="X269">
        <f t="shared" si="43"/>
        <v>34.25</v>
      </c>
      <c r="Y269">
        <f t="shared" si="44"/>
        <v>28.1</v>
      </c>
      <c r="Z269">
        <f t="shared" si="45"/>
        <v>25</v>
      </c>
      <c r="AA269">
        <f t="shared" si="46"/>
        <v>76</v>
      </c>
      <c r="AB269">
        <f t="shared" si="47"/>
        <v>13</v>
      </c>
      <c r="AC269" t="str">
        <f t="shared" si="48"/>
        <v>N</v>
      </c>
      <c r="AD269" t="str">
        <f t="shared" si="49"/>
        <v>E</v>
      </c>
      <c r="AE269">
        <f t="shared" si="50"/>
        <v>2</v>
      </c>
    </row>
    <row r="270" spans="1:31" x14ac:dyDescent="0.25">
      <c r="A270">
        <v>-2</v>
      </c>
      <c r="B270">
        <v>11.3</v>
      </c>
      <c r="C270">
        <v>0.2</v>
      </c>
      <c r="D270">
        <v>2.2000000000000002</v>
      </c>
      <c r="E270">
        <v>5.9</v>
      </c>
      <c r="F270">
        <v>33</v>
      </c>
      <c r="G270" t="s">
        <v>29</v>
      </c>
      <c r="H270" t="s">
        <v>26</v>
      </c>
      <c r="I270">
        <v>2</v>
      </c>
      <c r="J270">
        <v>19</v>
      </c>
      <c r="K270">
        <v>88</v>
      </c>
      <c r="L270">
        <v>50</v>
      </c>
      <c r="M270">
        <v>1020</v>
      </c>
      <c r="N270">
        <v>1015.3</v>
      </c>
      <c r="O270">
        <v>7</v>
      </c>
      <c r="P270">
        <v>10.9</v>
      </c>
      <c r="Q270" t="s">
        <v>19</v>
      </c>
      <c r="S270">
        <v>11</v>
      </c>
      <c r="T270">
        <v>31.937438845342623</v>
      </c>
      <c r="U270">
        <v>5.65</v>
      </c>
      <c r="W270">
        <f t="shared" si="42"/>
        <v>19</v>
      </c>
      <c r="X270">
        <f t="shared" si="43"/>
        <v>39.75</v>
      </c>
      <c r="Y270">
        <f t="shared" si="44"/>
        <v>26.9</v>
      </c>
      <c r="Z270">
        <f t="shared" si="45"/>
        <v>50</v>
      </c>
      <c r="AA270">
        <f t="shared" si="46"/>
        <v>73</v>
      </c>
      <c r="AB270">
        <f t="shared" si="47"/>
        <v>23</v>
      </c>
      <c r="AC270" t="str">
        <f t="shared" si="48"/>
        <v>N</v>
      </c>
      <c r="AD270" t="str">
        <f t="shared" si="49"/>
        <v>W</v>
      </c>
      <c r="AE270">
        <f t="shared" si="50"/>
        <v>2</v>
      </c>
    </row>
    <row r="271" spans="1:31" x14ac:dyDescent="0.25">
      <c r="A271">
        <v>-2.2999999999999998</v>
      </c>
      <c r="B271">
        <v>9.6999999999999993</v>
      </c>
      <c r="C271">
        <v>0</v>
      </c>
      <c r="D271">
        <v>1.4</v>
      </c>
      <c r="E271">
        <v>1.9</v>
      </c>
      <c r="F271">
        <v>28</v>
      </c>
      <c r="G271" t="s">
        <v>27</v>
      </c>
      <c r="H271" t="s">
        <v>31</v>
      </c>
      <c r="I271">
        <v>6</v>
      </c>
      <c r="J271">
        <v>13</v>
      </c>
      <c r="K271">
        <v>92</v>
      </c>
      <c r="L271">
        <v>66</v>
      </c>
      <c r="M271">
        <v>1013.8</v>
      </c>
      <c r="N271">
        <v>1010</v>
      </c>
      <c r="O271">
        <v>7</v>
      </c>
      <c r="P271">
        <v>7.8</v>
      </c>
      <c r="Q271" t="s">
        <v>19</v>
      </c>
      <c r="S271">
        <v>10</v>
      </c>
      <c r="T271">
        <v>31.840226129850272</v>
      </c>
      <c r="U271">
        <v>5.64</v>
      </c>
      <c r="W271">
        <f t="shared" si="42"/>
        <v>13</v>
      </c>
      <c r="X271">
        <f t="shared" si="43"/>
        <v>44.25</v>
      </c>
      <c r="Y271">
        <f t="shared" si="44"/>
        <v>20.9</v>
      </c>
      <c r="Z271">
        <f t="shared" si="45"/>
        <v>66</v>
      </c>
      <c r="AA271">
        <f t="shared" si="46"/>
        <v>90</v>
      </c>
      <c r="AB271">
        <f t="shared" si="47"/>
        <v>4</v>
      </c>
      <c r="AC271" t="str">
        <f t="shared" si="48"/>
        <v>N</v>
      </c>
      <c r="AD271" t="str">
        <f t="shared" si="49"/>
        <v>W</v>
      </c>
      <c r="AE271">
        <f t="shared" si="50"/>
        <v>3</v>
      </c>
    </row>
    <row r="272" spans="1:31" x14ac:dyDescent="0.25">
      <c r="A272">
        <v>-1.6</v>
      </c>
      <c r="B272">
        <v>10.7</v>
      </c>
      <c r="C272">
        <v>1.4</v>
      </c>
      <c r="D272">
        <v>0.8</v>
      </c>
      <c r="E272">
        <v>9.1</v>
      </c>
      <c r="F272">
        <v>59</v>
      </c>
      <c r="G272" t="s">
        <v>34</v>
      </c>
      <c r="H272" t="s">
        <v>30</v>
      </c>
      <c r="I272">
        <v>28</v>
      </c>
      <c r="J272">
        <v>37</v>
      </c>
      <c r="K272">
        <v>74</v>
      </c>
      <c r="L272">
        <v>56</v>
      </c>
      <c r="M272">
        <v>1014.1</v>
      </c>
      <c r="N272">
        <v>1014.9</v>
      </c>
      <c r="O272">
        <v>2</v>
      </c>
      <c r="P272">
        <v>9.6</v>
      </c>
      <c r="Q272" t="s">
        <v>20</v>
      </c>
      <c r="S272">
        <v>11</v>
      </c>
      <c r="T272">
        <v>31.844936803203112</v>
      </c>
      <c r="U272">
        <v>5.64</v>
      </c>
      <c r="W272">
        <f t="shared" si="42"/>
        <v>37</v>
      </c>
      <c r="X272">
        <f t="shared" si="43"/>
        <v>48.75</v>
      </c>
      <c r="Y272">
        <f t="shared" si="44"/>
        <v>74.099999999999994</v>
      </c>
      <c r="Z272">
        <f t="shared" si="45"/>
        <v>56</v>
      </c>
      <c r="AA272">
        <f t="shared" si="46"/>
        <v>13</v>
      </c>
      <c r="AB272">
        <f t="shared" si="47"/>
        <v>79</v>
      </c>
      <c r="AC272" t="str">
        <f t="shared" si="48"/>
        <v>Y</v>
      </c>
      <c r="AD272" t="str">
        <f t="shared" si="49"/>
        <v>S</v>
      </c>
      <c r="AE272">
        <f t="shared" si="50"/>
        <v>3</v>
      </c>
    </row>
    <row r="273" spans="1:31" x14ac:dyDescent="0.25">
      <c r="A273">
        <v>0.8</v>
      </c>
      <c r="B273">
        <v>12.2</v>
      </c>
      <c r="C273">
        <v>0</v>
      </c>
      <c r="D273">
        <v>1.8</v>
      </c>
      <c r="E273">
        <v>8.6</v>
      </c>
      <c r="F273" t="s">
        <v>35</v>
      </c>
      <c r="G273" t="s">
        <v>30</v>
      </c>
      <c r="H273" t="s">
        <v>30</v>
      </c>
      <c r="I273">
        <v>19</v>
      </c>
      <c r="J273">
        <v>22</v>
      </c>
      <c r="K273">
        <v>69</v>
      </c>
      <c r="L273">
        <v>49</v>
      </c>
      <c r="M273">
        <v>1020.9</v>
      </c>
      <c r="N273">
        <v>1016.8</v>
      </c>
      <c r="O273">
        <v>3</v>
      </c>
      <c r="P273">
        <v>11.2</v>
      </c>
      <c r="Q273" t="s">
        <v>19</v>
      </c>
      <c r="S273">
        <v>12</v>
      </c>
      <c r="T273">
        <v>31.951525785164002</v>
      </c>
      <c r="U273">
        <v>5.65</v>
      </c>
      <c r="W273">
        <f t="shared" si="42"/>
        <v>22</v>
      </c>
      <c r="X273">
        <f t="shared" si="43"/>
        <v>39.75</v>
      </c>
      <c r="Y273">
        <f t="shared" si="44"/>
        <v>49.6</v>
      </c>
      <c r="Z273">
        <f t="shared" si="45"/>
        <v>49</v>
      </c>
      <c r="AA273" t="e">
        <f t="shared" si="46"/>
        <v>#VALUE!</v>
      </c>
      <c r="AB273" t="e">
        <f t="shared" si="47"/>
        <v>#VALUE!</v>
      </c>
      <c r="AC273" t="str">
        <f t="shared" si="48"/>
        <v>N</v>
      </c>
      <c r="AD273" t="str">
        <f t="shared" si="49"/>
        <v>S</v>
      </c>
      <c r="AE273">
        <f t="shared" si="50"/>
        <v>1</v>
      </c>
    </row>
    <row r="274" spans="1:31" x14ac:dyDescent="0.25">
      <c r="A274">
        <v>-2.8</v>
      </c>
      <c r="B274">
        <v>12.2</v>
      </c>
      <c r="C274">
        <v>0</v>
      </c>
      <c r="D274">
        <v>2.6</v>
      </c>
      <c r="E274">
        <v>8.6999999999999993</v>
      </c>
      <c r="F274">
        <v>31</v>
      </c>
      <c r="G274" t="s">
        <v>35</v>
      </c>
      <c r="H274" t="s">
        <v>33</v>
      </c>
      <c r="I274">
        <v>0</v>
      </c>
      <c r="J274">
        <v>15</v>
      </c>
      <c r="K274">
        <v>84</v>
      </c>
      <c r="L274">
        <v>48</v>
      </c>
      <c r="M274">
        <v>1018.3</v>
      </c>
      <c r="N274">
        <v>1014.6</v>
      </c>
      <c r="O274">
        <v>1</v>
      </c>
      <c r="P274">
        <v>11.5</v>
      </c>
      <c r="Q274" t="s">
        <v>19</v>
      </c>
      <c r="S274">
        <v>12</v>
      </c>
      <c r="T274">
        <v>31.910813214332222</v>
      </c>
      <c r="U274">
        <v>5.65</v>
      </c>
      <c r="W274">
        <f t="shared" si="42"/>
        <v>15</v>
      </c>
      <c r="X274">
        <f t="shared" si="43"/>
        <v>36.75</v>
      </c>
      <c r="Y274">
        <f t="shared" si="44"/>
        <v>23.7</v>
      </c>
      <c r="Z274">
        <f t="shared" si="45"/>
        <v>48</v>
      </c>
      <c r="AA274">
        <f t="shared" si="46"/>
        <v>74</v>
      </c>
      <c r="AB274">
        <f t="shared" si="47"/>
        <v>12</v>
      </c>
      <c r="AC274" t="str">
        <f t="shared" si="48"/>
        <v>N</v>
      </c>
      <c r="AD274" t="str">
        <f t="shared" si="49"/>
        <v>W</v>
      </c>
      <c r="AE274">
        <f t="shared" si="50"/>
        <v>2</v>
      </c>
    </row>
    <row r="275" spans="1:31" x14ac:dyDescent="0.25">
      <c r="A275">
        <v>-2.8</v>
      </c>
      <c r="B275">
        <v>14.1</v>
      </c>
      <c r="C275">
        <v>0</v>
      </c>
      <c r="D275">
        <v>2.2000000000000002</v>
      </c>
      <c r="E275">
        <v>6.8</v>
      </c>
      <c r="F275">
        <v>48</v>
      </c>
      <c r="G275" t="s">
        <v>35</v>
      </c>
      <c r="H275" t="s">
        <v>26</v>
      </c>
      <c r="I275">
        <v>0</v>
      </c>
      <c r="J275">
        <v>26</v>
      </c>
      <c r="K275">
        <v>81</v>
      </c>
      <c r="L275">
        <v>38</v>
      </c>
      <c r="M275">
        <v>1017.3</v>
      </c>
      <c r="N275">
        <v>1012.9</v>
      </c>
      <c r="O275">
        <v>1</v>
      </c>
      <c r="P275">
        <v>12.8</v>
      </c>
      <c r="Q275" t="s">
        <v>19</v>
      </c>
      <c r="S275">
        <v>14</v>
      </c>
      <c r="T275">
        <v>31.895140695723541</v>
      </c>
      <c r="U275">
        <v>5.65</v>
      </c>
      <c r="W275">
        <f t="shared" si="42"/>
        <v>26</v>
      </c>
      <c r="X275">
        <f t="shared" si="43"/>
        <v>36.25</v>
      </c>
      <c r="Y275">
        <f t="shared" si="44"/>
        <v>32.799999999999997</v>
      </c>
      <c r="Z275">
        <f t="shared" si="45"/>
        <v>38</v>
      </c>
      <c r="AA275">
        <f t="shared" si="46"/>
        <v>29</v>
      </c>
      <c r="AB275">
        <f t="shared" si="47"/>
        <v>59</v>
      </c>
      <c r="AC275" t="str">
        <f t="shared" si="48"/>
        <v>N</v>
      </c>
      <c r="AD275" t="str">
        <f t="shared" si="49"/>
        <v>W</v>
      </c>
      <c r="AE275">
        <f t="shared" si="50"/>
        <v>2</v>
      </c>
    </row>
    <row r="276" spans="1:31" x14ac:dyDescent="0.25">
      <c r="A276">
        <v>3</v>
      </c>
      <c r="B276">
        <v>9.6999999999999993</v>
      </c>
      <c r="C276">
        <v>1</v>
      </c>
      <c r="D276">
        <v>2.6</v>
      </c>
      <c r="E276">
        <v>0.7</v>
      </c>
      <c r="F276">
        <v>65</v>
      </c>
      <c r="G276" t="s">
        <v>17</v>
      </c>
      <c r="H276" t="s">
        <v>17</v>
      </c>
      <c r="I276">
        <v>19</v>
      </c>
      <c r="J276">
        <v>28</v>
      </c>
      <c r="K276">
        <v>64</v>
      </c>
      <c r="L276">
        <v>82</v>
      </c>
      <c r="M276">
        <v>1005.1</v>
      </c>
      <c r="N276">
        <v>1001.3</v>
      </c>
      <c r="O276">
        <v>8</v>
      </c>
      <c r="P276">
        <v>8.6</v>
      </c>
      <c r="Q276" t="s">
        <v>19</v>
      </c>
      <c r="S276">
        <v>10</v>
      </c>
      <c r="T276">
        <v>31.703312129807511</v>
      </c>
      <c r="U276">
        <v>5.63</v>
      </c>
      <c r="W276">
        <f t="shared" si="42"/>
        <v>28</v>
      </c>
      <c r="X276">
        <f t="shared" si="43"/>
        <v>48.25</v>
      </c>
      <c r="Y276">
        <f t="shared" si="44"/>
        <v>47.7</v>
      </c>
      <c r="Z276">
        <f t="shared" si="45"/>
        <v>64</v>
      </c>
      <c r="AA276">
        <f t="shared" si="46"/>
        <v>9</v>
      </c>
      <c r="AB276">
        <f t="shared" si="47"/>
        <v>81</v>
      </c>
      <c r="AC276" t="str">
        <f t="shared" si="48"/>
        <v>N</v>
      </c>
      <c r="AD276" t="str">
        <f t="shared" si="49"/>
        <v>W</v>
      </c>
      <c r="AE276">
        <f t="shared" si="50"/>
        <v>2</v>
      </c>
    </row>
    <row r="277" spans="1:31" x14ac:dyDescent="0.25">
      <c r="A277">
        <v>4.4000000000000004</v>
      </c>
      <c r="B277">
        <v>11.5</v>
      </c>
      <c r="C277">
        <v>6.6</v>
      </c>
      <c r="D277">
        <v>2.2000000000000002</v>
      </c>
      <c r="E277">
        <v>9.3000000000000007</v>
      </c>
      <c r="F277">
        <v>57</v>
      </c>
      <c r="G277" t="s">
        <v>33</v>
      </c>
      <c r="H277" t="s">
        <v>26</v>
      </c>
      <c r="I277">
        <v>28</v>
      </c>
      <c r="J277">
        <v>31</v>
      </c>
      <c r="K277">
        <v>67</v>
      </c>
      <c r="L277">
        <v>56</v>
      </c>
      <c r="M277">
        <v>1013.9</v>
      </c>
      <c r="N277">
        <v>1014.9</v>
      </c>
      <c r="O277">
        <v>1</v>
      </c>
      <c r="P277">
        <v>10.5</v>
      </c>
      <c r="Q277" t="s">
        <v>20</v>
      </c>
      <c r="S277">
        <v>12</v>
      </c>
      <c r="T277">
        <v>31.841796431734185</v>
      </c>
      <c r="U277">
        <v>5.64</v>
      </c>
      <c r="W277">
        <f t="shared" si="42"/>
        <v>31</v>
      </c>
      <c r="X277">
        <f t="shared" si="43"/>
        <v>45.5</v>
      </c>
      <c r="Y277">
        <f t="shared" si="44"/>
        <v>68.3</v>
      </c>
      <c r="Z277">
        <f t="shared" si="45"/>
        <v>56</v>
      </c>
      <c r="AA277">
        <f t="shared" si="46"/>
        <v>16</v>
      </c>
      <c r="AB277">
        <f t="shared" si="47"/>
        <v>75</v>
      </c>
      <c r="AC277" t="str">
        <f t="shared" si="48"/>
        <v>Y</v>
      </c>
      <c r="AD277" t="str">
        <f t="shared" si="49"/>
        <v>W</v>
      </c>
      <c r="AE277">
        <f t="shared" si="50"/>
        <v>3</v>
      </c>
    </row>
    <row r="278" spans="1:31" x14ac:dyDescent="0.25">
      <c r="A278">
        <v>2.2999999999999998</v>
      </c>
      <c r="B278">
        <v>12.8</v>
      </c>
      <c r="C278">
        <v>0</v>
      </c>
      <c r="D278">
        <v>2.2000000000000002</v>
      </c>
      <c r="E278">
        <v>9.6</v>
      </c>
      <c r="F278">
        <v>35</v>
      </c>
      <c r="G278" t="s">
        <v>21</v>
      </c>
      <c r="H278" t="s">
        <v>26</v>
      </c>
      <c r="I278">
        <v>4</v>
      </c>
      <c r="J278">
        <v>24</v>
      </c>
      <c r="K278">
        <v>70</v>
      </c>
      <c r="L278">
        <v>48</v>
      </c>
      <c r="M278">
        <v>1021.2</v>
      </c>
      <c r="N278">
        <v>1018.1</v>
      </c>
      <c r="O278">
        <v>1</v>
      </c>
      <c r="P278">
        <v>11.6</v>
      </c>
      <c r="Q278" t="s">
        <v>19</v>
      </c>
      <c r="S278">
        <v>13</v>
      </c>
      <c r="T278">
        <v>31.95622005181464</v>
      </c>
      <c r="U278">
        <v>5.65</v>
      </c>
      <c r="W278">
        <f t="shared" si="42"/>
        <v>24</v>
      </c>
      <c r="X278">
        <f t="shared" si="43"/>
        <v>36.5</v>
      </c>
      <c r="Y278">
        <f t="shared" si="44"/>
        <v>37.6</v>
      </c>
      <c r="Z278">
        <f t="shared" si="45"/>
        <v>48</v>
      </c>
      <c r="AA278">
        <f t="shared" si="46"/>
        <v>65</v>
      </c>
      <c r="AB278">
        <f t="shared" si="47"/>
        <v>23</v>
      </c>
      <c r="AC278" t="str">
        <f t="shared" si="48"/>
        <v>N</v>
      </c>
      <c r="AD278" t="str">
        <f t="shared" si="49"/>
        <v>W</v>
      </c>
      <c r="AE278">
        <f t="shared" si="50"/>
        <v>3</v>
      </c>
    </row>
    <row r="279" spans="1:31" x14ac:dyDescent="0.25">
      <c r="A279">
        <v>-2</v>
      </c>
      <c r="B279">
        <v>12.3</v>
      </c>
      <c r="C279">
        <v>0</v>
      </c>
      <c r="D279">
        <v>2.4</v>
      </c>
      <c r="E279">
        <v>5.8</v>
      </c>
      <c r="F279">
        <v>31</v>
      </c>
      <c r="G279" t="s">
        <v>28</v>
      </c>
      <c r="H279" t="s">
        <v>23</v>
      </c>
      <c r="I279">
        <v>4</v>
      </c>
      <c r="J279">
        <v>19</v>
      </c>
      <c r="K279">
        <v>81</v>
      </c>
      <c r="L279">
        <v>60</v>
      </c>
      <c r="M279">
        <v>1020.9</v>
      </c>
      <c r="N279">
        <v>1018.3</v>
      </c>
      <c r="O279">
        <v>1</v>
      </c>
      <c r="P279">
        <v>9.1</v>
      </c>
      <c r="Q279" t="s">
        <v>19</v>
      </c>
      <c r="S279">
        <v>12</v>
      </c>
      <c r="T279">
        <v>31.951525785164002</v>
      </c>
      <c r="U279">
        <v>5.65</v>
      </c>
      <c r="W279">
        <f t="shared" si="42"/>
        <v>19</v>
      </c>
      <c r="X279">
        <f t="shared" si="43"/>
        <v>41</v>
      </c>
      <c r="Y279">
        <f t="shared" si="44"/>
        <v>28.8</v>
      </c>
      <c r="Z279">
        <f t="shared" si="45"/>
        <v>60</v>
      </c>
      <c r="AA279">
        <f t="shared" si="46"/>
        <v>70</v>
      </c>
      <c r="AB279">
        <f t="shared" si="47"/>
        <v>12</v>
      </c>
      <c r="AC279" t="str">
        <f t="shared" si="48"/>
        <v>N</v>
      </c>
      <c r="AD279" t="str">
        <f t="shared" si="49"/>
        <v>W</v>
      </c>
      <c r="AE279">
        <f t="shared" si="50"/>
        <v>3</v>
      </c>
    </row>
    <row r="280" spans="1:31" x14ac:dyDescent="0.25">
      <c r="A280">
        <v>-1.9</v>
      </c>
      <c r="B280">
        <v>10.9</v>
      </c>
      <c r="C280">
        <v>0</v>
      </c>
      <c r="D280">
        <v>1.8</v>
      </c>
      <c r="E280">
        <v>4.2</v>
      </c>
      <c r="F280">
        <v>50</v>
      </c>
      <c r="G280" t="s">
        <v>35</v>
      </c>
      <c r="H280" t="s">
        <v>34</v>
      </c>
      <c r="I280">
        <v>0</v>
      </c>
      <c r="J280">
        <v>26</v>
      </c>
      <c r="K280">
        <v>78</v>
      </c>
      <c r="L280">
        <v>72</v>
      </c>
      <c r="M280">
        <v>1020.8</v>
      </c>
      <c r="N280">
        <v>1019.2</v>
      </c>
      <c r="O280">
        <v>3</v>
      </c>
      <c r="P280">
        <v>7.2</v>
      </c>
      <c r="Q280" t="s">
        <v>19</v>
      </c>
      <c r="S280">
        <v>11</v>
      </c>
      <c r="T280">
        <v>31.949960876345372</v>
      </c>
      <c r="U280">
        <v>5.65</v>
      </c>
      <c r="W280">
        <f t="shared" si="42"/>
        <v>26</v>
      </c>
      <c r="X280">
        <f t="shared" si="43"/>
        <v>44</v>
      </c>
      <c r="Y280">
        <f t="shared" si="44"/>
        <v>30.2</v>
      </c>
      <c r="Z280">
        <f t="shared" si="45"/>
        <v>72</v>
      </c>
      <c r="AA280">
        <f t="shared" si="46"/>
        <v>22</v>
      </c>
      <c r="AB280">
        <f t="shared" si="47"/>
        <v>63</v>
      </c>
      <c r="AC280" t="str">
        <f t="shared" si="48"/>
        <v>N</v>
      </c>
      <c r="AD280" t="str">
        <f t="shared" si="49"/>
        <v>W</v>
      </c>
      <c r="AE280">
        <f t="shared" si="50"/>
        <v>2</v>
      </c>
    </row>
    <row r="281" spans="1:31" x14ac:dyDescent="0.25">
      <c r="A281">
        <v>4.8</v>
      </c>
      <c r="B281">
        <v>14.1</v>
      </c>
      <c r="C281">
        <v>4</v>
      </c>
      <c r="D281">
        <v>1.6</v>
      </c>
      <c r="E281">
        <v>8.3000000000000007</v>
      </c>
      <c r="F281">
        <v>48</v>
      </c>
      <c r="G281" t="s">
        <v>30</v>
      </c>
      <c r="H281" t="s">
        <v>27</v>
      </c>
      <c r="I281">
        <v>30</v>
      </c>
      <c r="J281">
        <v>22</v>
      </c>
      <c r="K281">
        <v>67</v>
      </c>
      <c r="L281">
        <v>48</v>
      </c>
      <c r="M281">
        <v>1018.2</v>
      </c>
      <c r="N281">
        <v>1017.6</v>
      </c>
      <c r="O281">
        <v>5</v>
      </c>
      <c r="P281">
        <v>13.6</v>
      </c>
      <c r="Q281" t="s">
        <v>20</v>
      </c>
      <c r="S281">
        <v>14</v>
      </c>
      <c r="T281">
        <v>31.909246308867907</v>
      </c>
      <c r="U281">
        <v>5.65</v>
      </c>
      <c r="W281">
        <f t="shared" si="42"/>
        <v>30</v>
      </c>
      <c r="X281">
        <f t="shared" si="43"/>
        <v>41.75</v>
      </c>
      <c r="Y281">
        <f t="shared" si="44"/>
        <v>60.3</v>
      </c>
      <c r="Z281">
        <f t="shared" si="45"/>
        <v>48</v>
      </c>
      <c r="AA281">
        <f t="shared" si="46"/>
        <v>26</v>
      </c>
      <c r="AB281">
        <f t="shared" si="47"/>
        <v>57</v>
      </c>
      <c r="AC281" t="str">
        <f t="shared" si="48"/>
        <v>Y</v>
      </c>
      <c r="AD281" t="str">
        <f t="shared" si="49"/>
        <v>E</v>
      </c>
      <c r="AE281">
        <f t="shared" si="50"/>
        <v>1</v>
      </c>
    </row>
    <row r="282" spans="1:31" x14ac:dyDescent="0.25">
      <c r="A282">
        <v>-0.6</v>
      </c>
      <c r="B282">
        <v>11.1</v>
      </c>
      <c r="C282">
        <v>0</v>
      </c>
      <c r="D282">
        <v>3</v>
      </c>
      <c r="E282">
        <v>5</v>
      </c>
      <c r="F282">
        <v>41</v>
      </c>
      <c r="G282" t="s">
        <v>29</v>
      </c>
      <c r="H282" t="s">
        <v>24</v>
      </c>
      <c r="I282">
        <v>7</v>
      </c>
      <c r="J282">
        <v>26</v>
      </c>
      <c r="K282">
        <v>89</v>
      </c>
      <c r="L282">
        <v>78</v>
      </c>
      <c r="M282">
        <v>1018.4</v>
      </c>
      <c r="N282">
        <v>1015.9</v>
      </c>
      <c r="O282">
        <v>7</v>
      </c>
      <c r="P282">
        <v>5.7</v>
      </c>
      <c r="Q282" t="s">
        <v>19</v>
      </c>
      <c r="S282">
        <v>11</v>
      </c>
      <c r="T282">
        <v>31.912380042861109</v>
      </c>
      <c r="U282">
        <v>5.65</v>
      </c>
      <c r="W282">
        <f t="shared" si="42"/>
        <v>26</v>
      </c>
      <c r="X282">
        <f t="shared" si="43"/>
        <v>50</v>
      </c>
      <c r="Y282">
        <f t="shared" si="44"/>
        <v>38</v>
      </c>
      <c r="Z282">
        <f t="shared" si="45"/>
        <v>78</v>
      </c>
      <c r="AA282">
        <f t="shared" si="46"/>
        <v>52</v>
      </c>
      <c r="AB282">
        <f t="shared" si="47"/>
        <v>31</v>
      </c>
      <c r="AC282" t="str">
        <f t="shared" si="48"/>
        <v>N</v>
      </c>
      <c r="AD282" t="str">
        <f t="shared" si="49"/>
        <v>N</v>
      </c>
      <c r="AE282">
        <f t="shared" si="50"/>
        <v>2</v>
      </c>
    </row>
    <row r="283" spans="1:31" x14ac:dyDescent="0.25">
      <c r="A283">
        <v>3.1</v>
      </c>
      <c r="B283">
        <v>12.5</v>
      </c>
      <c r="C283">
        <v>1.2</v>
      </c>
      <c r="D283">
        <v>1.4</v>
      </c>
      <c r="E283">
        <v>7.2</v>
      </c>
      <c r="F283">
        <v>43</v>
      </c>
      <c r="G283" t="s">
        <v>26</v>
      </c>
      <c r="H283" t="s">
        <v>24</v>
      </c>
      <c r="I283">
        <v>6</v>
      </c>
      <c r="J283">
        <v>30</v>
      </c>
      <c r="K283">
        <v>69</v>
      </c>
      <c r="L283">
        <v>62</v>
      </c>
      <c r="M283">
        <v>1019.8</v>
      </c>
      <c r="N283">
        <v>1019.1</v>
      </c>
      <c r="O283">
        <v>6</v>
      </c>
      <c r="P283">
        <v>11.3</v>
      </c>
      <c r="Q283" t="s">
        <v>20</v>
      </c>
      <c r="S283">
        <v>13</v>
      </c>
      <c r="T283">
        <v>31.934307570385801</v>
      </c>
      <c r="U283">
        <v>5.65</v>
      </c>
      <c r="W283">
        <f t="shared" si="42"/>
        <v>30</v>
      </c>
      <c r="X283">
        <f t="shared" si="43"/>
        <v>41.75</v>
      </c>
      <c r="Y283">
        <f t="shared" si="44"/>
        <v>43.2</v>
      </c>
      <c r="Z283">
        <f t="shared" si="45"/>
        <v>62</v>
      </c>
      <c r="AA283">
        <f t="shared" si="46"/>
        <v>44</v>
      </c>
      <c r="AB283">
        <f t="shared" si="47"/>
        <v>35</v>
      </c>
      <c r="AC283" t="str">
        <f t="shared" si="48"/>
        <v>Y</v>
      </c>
      <c r="AD283" t="str">
        <f t="shared" si="49"/>
        <v>N</v>
      </c>
      <c r="AE283">
        <f t="shared" si="50"/>
        <v>3</v>
      </c>
    </row>
    <row r="284" spans="1:31" x14ac:dyDescent="0.25">
      <c r="A284">
        <v>-2.9</v>
      </c>
      <c r="B284">
        <v>9.6</v>
      </c>
      <c r="C284">
        <v>0</v>
      </c>
      <c r="D284">
        <v>1.8</v>
      </c>
      <c r="E284">
        <v>7.3</v>
      </c>
      <c r="F284">
        <v>43</v>
      </c>
      <c r="G284" t="s">
        <v>24</v>
      </c>
      <c r="H284" t="s">
        <v>17</v>
      </c>
      <c r="I284">
        <v>6</v>
      </c>
      <c r="J284">
        <v>24</v>
      </c>
      <c r="K284">
        <v>76</v>
      </c>
      <c r="L284">
        <v>70</v>
      </c>
      <c r="M284">
        <v>1022.4</v>
      </c>
      <c r="N284">
        <v>1019</v>
      </c>
      <c r="O284">
        <v>1</v>
      </c>
      <c r="P284">
        <v>8.1</v>
      </c>
      <c r="Q284" t="s">
        <v>19</v>
      </c>
      <c r="S284">
        <v>10</v>
      </c>
      <c r="T284">
        <v>31.974990226738147</v>
      </c>
      <c r="U284">
        <v>5.65</v>
      </c>
      <c r="W284">
        <f t="shared" si="42"/>
        <v>24</v>
      </c>
      <c r="X284">
        <f t="shared" si="43"/>
        <v>44</v>
      </c>
      <c r="Y284">
        <f t="shared" si="44"/>
        <v>37.299999999999997</v>
      </c>
      <c r="Z284">
        <f t="shared" si="45"/>
        <v>70</v>
      </c>
      <c r="AA284">
        <f t="shared" si="46"/>
        <v>44</v>
      </c>
      <c r="AB284">
        <f t="shared" si="47"/>
        <v>35</v>
      </c>
      <c r="AC284" t="str">
        <f t="shared" si="48"/>
        <v>N</v>
      </c>
      <c r="AD284" t="str">
        <f t="shared" si="49"/>
        <v>W</v>
      </c>
      <c r="AE284">
        <f t="shared" si="50"/>
        <v>1</v>
      </c>
    </row>
    <row r="285" spans="1:31" x14ac:dyDescent="0.25">
      <c r="A285">
        <v>-3.5</v>
      </c>
      <c r="B285">
        <v>7.6</v>
      </c>
      <c r="C285">
        <v>0.4</v>
      </c>
      <c r="D285">
        <v>2.4</v>
      </c>
      <c r="E285">
        <v>4.7</v>
      </c>
      <c r="F285">
        <v>50</v>
      </c>
      <c r="G285" t="s">
        <v>17</v>
      </c>
      <c r="H285" t="s">
        <v>17</v>
      </c>
      <c r="I285">
        <v>30</v>
      </c>
      <c r="J285">
        <v>24</v>
      </c>
      <c r="K285">
        <v>92</v>
      </c>
      <c r="L285">
        <v>68</v>
      </c>
      <c r="M285">
        <v>1014.8</v>
      </c>
      <c r="N285">
        <v>1012.6</v>
      </c>
      <c r="O285">
        <v>8</v>
      </c>
      <c r="P285">
        <v>5.0999999999999996</v>
      </c>
      <c r="Q285" t="s">
        <v>19</v>
      </c>
      <c r="S285">
        <v>8</v>
      </c>
      <c r="T285">
        <v>31.855925665407998</v>
      </c>
      <c r="U285">
        <v>5.64</v>
      </c>
      <c r="W285">
        <f t="shared" si="42"/>
        <v>30</v>
      </c>
      <c r="X285">
        <f t="shared" si="43"/>
        <v>53.5</v>
      </c>
      <c r="Y285">
        <f t="shared" si="44"/>
        <v>58.7</v>
      </c>
      <c r="Z285">
        <f t="shared" si="45"/>
        <v>68</v>
      </c>
      <c r="AA285">
        <f t="shared" si="46"/>
        <v>22</v>
      </c>
      <c r="AB285">
        <f t="shared" si="47"/>
        <v>59</v>
      </c>
      <c r="AC285" t="str">
        <f t="shared" si="48"/>
        <v>N</v>
      </c>
      <c r="AD285" t="str">
        <f t="shared" si="49"/>
        <v>W</v>
      </c>
      <c r="AE285">
        <f t="shared" si="50"/>
        <v>2</v>
      </c>
    </row>
    <row r="286" spans="1:31" x14ac:dyDescent="0.25">
      <c r="A286">
        <v>-0.3</v>
      </c>
      <c r="B286">
        <v>9.3000000000000007</v>
      </c>
      <c r="C286">
        <v>0.4</v>
      </c>
      <c r="D286">
        <v>1.4</v>
      </c>
      <c r="E286">
        <v>9.9</v>
      </c>
      <c r="F286">
        <v>39</v>
      </c>
      <c r="G286" t="s">
        <v>33</v>
      </c>
      <c r="H286" t="s">
        <v>24</v>
      </c>
      <c r="I286">
        <v>9</v>
      </c>
      <c r="J286">
        <v>30</v>
      </c>
      <c r="K286">
        <v>72</v>
      </c>
      <c r="L286">
        <v>60</v>
      </c>
      <c r="M286">
        <v>1017.4</v>
      </c>
      <c r="N286">
        <v>1016.6</v>
      </c>
      <c r="O286">
        <v>1</v>
      </c>
      <c r="P286">
        <v>8.3000000000000007</v>
      </c>
      <c r="Q286" t="s">
        <v>19</v>
      </c>
      <c r="S286">
        <v>9</v>
      </c>
      <c r="T286">
        <v>31.896708294117122</v>
      </c>
      <c r="U286">
        <v>5.65</v>
      </c>
      <c r="W286">
        <f t="shared" si="42"/>
        <v>30</v>
      </c>
      <c r="X286">
        <f t="shared" si="43"/>
        <v>42.75</v>
      </c>
      <c r="Y286">
        <f t="shared" si="44"/>
        <v>48.9</v>
      </c>
      <c r="Z286">
        <f t="shared" si="45"/>
        <v>60</v>
      </c>
      <c r="AA286">
        <f t="shared" si="46"/>
        <v>53</v>
      </c>
      <c r="AB286">
        <f t="shared" si="47"/>
        <v>25</v>
      </c>
      <c r="AC286" t="str">
        <f t="shared" si="48"/>
        <v>N</v>
      </c>
      <c r="AD286" t="str">
        <f t="shared" si="49"/>
        <v>N</v>
      </c>
      <c r="AE286">
        <f t="shared" si="50"/>
        <v>3</v>
      </c>
    </row>
    <row r="287" spans="1:31" x14ac:dyDescent="0.25">
      <c r="A287">
        <v>0.1</v>
      </c>
      <c r="B287">
        <v>10.4</v>
      </c>
      <c r="C287">
        <v>0</v>
      </c>
      <c r="D287">
        <v>1.8</v>
      </c>
      <c r="E287">
        <v>7.9</v>
      </c>
      <c r="F287">
        <v>59</v>
      </c>
      <c r="G287" t="s">
        <v>17</v>
      </c>
      <c r="H287" t="s">
        <v>26</v>
      </c>
      <c r="I287">
        <v>22</v>
      </c>
      <c r="J287">
        <v>24</v>
      </c>
      <c r="K287">
        <v>69</v>
      </c>
      <c r="L287">
        <v>63</v>
      </c>
      <c r="M287">
        <v>1021.3</v>
      </c>
      <c r="N287">
        <v>1020.1</v>
      </c>
      <c r="O287">
        <v>1</v>
      </c>
      <c r="P287">
        <v>8.6</v>
      </c>
      <c r="Q287" t="s">
        <v>19</v>
      </c>
      <c r="S287">
        <v>10</v>
      </c>
      <c r="T287">
        <v>31.95778465413396</v>
      </c>
      <c r="U287">
        <v>5.65</v>
      </c>
      <c r="W287">
        <f t="shared" si="42"/>
        <v>24</v>
      </c>
      <c r="X287">
        <f t="shared" si="43"/>
        <v>44.5</v>
      </c>
      <c r="Y287">
        <f t="shared" si="44"/>
        <v>53.9</v>
      </c>
      <c r="Z287">
        <f t="shared" si="45"/>
        <v>63</v>
      </c>
      <c r="AA287">
        <f t="shared" si="46"/>
        <v>12</v>
      </c>
      <c r="AB287">
        <f t="shared" si="47"/>
        <v>67</v>
      </c>
      <c r="AC287" t="str">
        <f t="shared" si="48"/>
        <v>N</v>
      </c>
      <c r="AD287" t="str">
        <f t="shared" si="49"/>
        <v>W</v>
      </c>
      <c r="AE287">
        <f t="shared" si="50"/>
        <v>2</v>
      </c>
    </row>
    <row r="288" spans="1:31" x14ac:dyDescent="0.25">
      <c r="A288">
        <v>2.2999999999999998</v>
      </c>
      <c r="B288">
        <v>12.2</v>
      </c>
      <c r="C288">
        <v>0</v>
      </c>
      <c r="D288">
        <v>2.8</v>
      </c>
      <c r="E288">
        <v>9.8000000000000007</v>
      </c>
      <c r="F288">
        <v>44</v>
      </c>
      <c r="G288" t="s">
        <v>26</v>
      </c>
      <c r="H288" t="s">
        <v>17</v>
      </c>
      <c r="I288">
        <v>20</v>
      </c>
      <c r="J288">
        <v>30</v>
      </c>
      <c r="K288">
        <v>58</v>
      </c>
      <c r="L288">
        <v>41</v>
      </c>
      <c r="M288">
        <v>1024.2</v>
      </c>
      <c r="N288">
        <v>1022.4</v>
      </c>
      <c r="O288">
        <v>1</v>
      </c>
      <c r="P288">
        <v>10.4</v>
      </c>
      <c r="Q288" t="s">
        <v>19</v>
      </c>
      <c r="S288">
        <v>12</v>
      </c>
      <c r="T288">
        <v>32.00312484742701</v>
      </c>
      <c r="U288">
        <v>5.66</v>
      </c>
      <c r="W288">
        <f t="shared" si="42"/>
        <v>30</v>
      </c>
      <c r="X288">
        <f t="shared" si="43"/>
        <v>37.25</v>
      </c>
      <c r="Y288">
        <f t="shared" si="44"/>
        <v>59.8</v>
      </c>
      <c r="Z288">
        <f t="shared" si="45"/>
        <v>41</v>
      </c>
      <c r="AA288">
        <f t="shared" si="46"/>
        <v>37</v>
      </c>
      <c r="AB288">
        <f t="shared" si="47"/>
        <v>40</v>
      </c>
      <c r="AC288" t="str">
        <f t="shared" si="48"/>
        <v>N</v>
      </c>
      <c r="AD288" t="str">
        <f t="shared" si="49"/>
        <v>W</v>
      </c>
      <c r="AE288">
        <f t="shared" si="50"/>
        <v>3</v>
      </c>
    </row>
    <row r="289" spans="1:31" x14ac:dyDescent="0.25">
      <c r="A289">
        <v>2.1</v>
      </c>
      <c r="B289">
        <v>10.7</v>
      </c>
      <c r="C289">
        <v>0</v>
      </c>
      <c r="D289">
        <v>3.4</v>
      </c>
      <c r="E289">
        <v>9.4</v>
      </c>
      <c r="F289">
        <v>59</v>
      </c>
      <c r="G289" t="s">
        <v>33</v>
      </c>
      <c r="H289" t="s">
        <v>26</v>
      </c>
      <c r="I289">
        <v>28</v>
      </c>
      <c r="J289">
        <v>39</v>
      </c>
      <c r="K289">
        <v>59</v>
      </c>
      <c r="L289">
        <v>45</v>
      </c>
      <c r="M289">
        <v>1022.2</v>
      </c>
      <c r="N289">
        <v>1018.2</v>
      </c>
      <c r="O289">
        <v>1</v>
      </c>
      <c r="P289">
        <v>9.5</v>
      </c>
      <c r="Q289" t="s">
        <v>19</v>
      </c>
      <c r="S289">
        <v>11</v>
      </c>
      <c r="T289">
        <v>31.971862629505964</v>
      </c>
      <c r="U289">
        <v>5.65</v>
      </c>
      <c r="W289">
        <f t="shared" si="42"/>
        <v>39</v>
      </c>
      <c r="X289">
        <f t="shared" si="43"/>
        <v>42.75</v>
      </c>
      <c r="Y289">
        <f t="shared" si="44"/>
        <v>76.400000000000006</v>
      </c>
      <c r="Z289">
        <f t="shared" si="45"/>
        <v>45</v>
      </c>
      <c r="AA289">
        <f t="shared" si="46"/>
        <v>12</v>
      </c>
      <c r="AB289">
        <f t="shared" si="47"/>
        <v>66</v>
      </c>
      <c r="AC289" t="str">
        <f t="shared" si="48"/>
        <v>N</v>
      </c>
      <c r="AD289" t="str">
        <f t="shared" si="49"/>
        <v>W</v>
      </c>
      <c r="AE289">
        <f t="shared" si="50"/>
        <v>3</v>
      </c>
    </row>
    <row r="290" spans="1:31" x14ac:dyDescent="0.25">
      <c r="A290">
        <v>4.5999999999999996</v>
      </c>
      <c r="B290">
        <v>14.7</v>
      </c>
      <c r="C290">
        <v>0</v>
      </c>
      <c r="D290">
        <v>4.4000000000000004</v>
      </c>
      <c r="E290">
        <v>8.4</v>
      </c>
      <c r="F290">
        <v>52</v>
      </c>
      <c r="G290" t="s">
        <v>26</v>
      </c>
      <c r="H290" t="s">
        <v>17</v>
      </c>
      <c r="I290">
        <v>28</v>
      </c>
      <c r="J290">
        <v>33</v>
      </c>
      <c r="K290">
        <v>54</v>
      </c>
      <c r="L290">
        <v>51</v>
      </c>
      <c r="M290">
        <v>1014.7</v>
      </c>
      <c r="N290">
        <v>1012.4</v>
      </c>
      <c r="O290">
        <v>1</v>
      </c>
      <c r="P290">
        <v>12</v>
      </c>
      <c r="Q290" t="s">
        <v>19</v>
      </c>
      <c r="S290">
        <v>15</v>
      </c>
      <c r="T290">
        <v>31.854356060043028</v>
      </c>
      <c r="U290">
        <v>5.64</v>
      </c>
      <c r="W290">
        <f t="shared" si="42"/>
        <v>33</v>
      </c>
      <c r="X290">
        <f t="shared" si="43"/>
        <v>41.5</v>
      </c>
      <c r="Y290">
        <f t="shared" si="44"/>
        <v>69.400000000000006</v>
      </c>
      <c r="Z290">
        <f t="shared" si="45"/>
        <v>51</v>
      </c>
      <c r="AA290">
        <f t="shared" si="46"/>
        <v>16</v>
      </c>
      <c r="AB290">
        <f t="shared" si="47"/>
        <v>60</v>
      </c>
      <c r="AC290" t="str">
        <f t="shared" si="48"/>
        <v>N</v>
      </c>
      <c r="AD290" t="str">
        <f t="shared" si="49"/>
        <v>W</v>
      </c>
      <c r="AE290">
        <f t="shared" si="50"/>
        <v>3</v>
      </c>
    </row>
    <row r="291" spans="1:31" x14ac:dyDescent="0.25">
      <c r="A291">
        <v>3.7</v>
      </c>
      <c r="B291">
        <v>14.2</v>
      </c>
      <c r="C291">
        <v>0</v>
      </c>
      <c r="D291">
        <v>3</v>
      </c>
      <c r="E291">
        <v>10</v>
      </c>
      <c r="F291">
        <v>46</v>
      </c>
      <c r="G291" t="s">
        <v>26</v>
      </c>
      <c r="H291" t="s">
        <v>31</v>
      </c>
      <c r="I291">
        <v>24</v>
      </c>
      <c r="J291">
        <v>28</v>
      </c>
      <c r="K291">
        <v>52</v>
      </c>
      <c r="L291">
        <v>27</v>
      </c>
      <c r="M291">
        <v>1012.7</v>
      </c>
      <c r="N291">
        <v>1011.8</v>
      </c>
      <c r="O291">
        <v>1</v>
      </c>
      <c r="P291">
        <v>13.5</v>
      </c>
      <c r="Q291" t="s">
        <v>19</v>
      </c>
      <c r="S291">
        <v>14</v>
      </c>
      <c r="T291">
        <v>31.822947695020336</v>
      </c>
      <c r="U291">
        <v>5.64</v>
      </c>
      <c r="W291">
        <f t="shared" si="42"/>
        <v>28</v>
      </c>
      <c r="X291">
        <f t="shared" si="43"/>
        <v>32.75</v>
      </c>
      <c r="Y291">
        <f t="shared" si="44"/>
        <v>62</v>
      </c>
      <c r="Z291">
        <f t="shared" si="45"/>
        <v>27</v>
      </c>
      <c r="AA291">
        <f t="shared" si="46"/>
        <v>27</v>
      </c>
      <c r="AB291">
        <f t="shared" si="47"/>
        <v>44</v>
      </c>
      <c r="AC291" t="str">
        <f t="shared" si="48"/>
        <v>N</v>
      </c>
      <c r="AD291" t="str">
        <f t="shared" si="49"/>
        <v>W</v>
      </c>
      <c r="AE291">
        <f t="shared" si="50"/>
        <v>3</v>
      </c>
    </row>
    <row r="292" spans="1:31" x14ac:dyDescent="0.25">
      <c r="A292">
        <v>-1.3</v>
      </c>
      <c r="B292">
        <v>11.6</v>
      </c>
      <c r="C292">
        <v>0</v>
      </c>
      <c r="D292">
        <v>4</v>
      </c>
      <c r="E292">
        <v>10.4</v>
      </c>
      <c r="F292">
        <v>30</v>
      </c>
      <c r="G292" t="s">
        <v>28</v>
      </c>
      <c r="H292" t="s">
        <v>33</v>
      </c>
      <c r="I292">
        <v>9</v>
      </c>
      <c r="J292">
        <v>17</v>
      </c>
      <c r="K292">
        <v>59</v>
      </c>
      <c r="L292">
        <v>35</v>
      </c>
      <c r="M292">
        <v>1023.3</v>
      </c>
      <c r="N292">
        <v>1022</v>
      </c>
      <c r="O292">
        <v>0</v>
      </c>
      <c r="P292">
        <v>10.8</v>
      </c>
      <c r="Q292" t="s">
        <v>19</v>
      </c>
      <c r="S292">
        <v>12</v>
      </c>
      <c r="T292">
        <v>31.98906063015918</v>
      </c>
      <c r="U292">
        <v>5.66</v>
      </c>
      <c r="W292">
        <f t="shared" si="42"/>
        <v>17</v>
      </c>
      <c r="X292">
        <f t="shared" si="43"/>
        <v>30</v>
      </c>
      <c r="Y292">
        <f t="shared" si="44"/>
        <v>36.4</v>
      </c>
      <c r="Z292">
        <f t="shared" si="45"/>
        <v>35</v>
      </c>
      <c r="AA292">
        <f t="shared" si="46"/>
        <v>66</v>
      </c>
      <c r="AB292">
        <f t="shared" si="47"/>
        <v>7</v>
      </c>
      <c r="AC292" t="str">
        <f t="shared" si="48"/>
        <v>N</v>
      </c>
      <c r="AD292" t="str">
        <f t="shared" si="49"/>
        <v>W</v>
      </c>
      <c r="AE292">
        <f t="shared" si="50"/>
        <v>3</v>
      </c>
    </row>
    <row r="293" spans="1:31" x14ac:dyDescent="0.25">
      <c r="A293">
        <v>-3.4</v>
      </c>
      <c r="B293">
        <v>12.5</v>
      </c>
      <c r="C293">
        <v>0</v>
      </c>
      <c r="D293">
        <v>3</v>
      </c>
      <c r="E293">
        <v>6.8</v>
      </c>
      <c r="F293">
        <v>48</v>
      </c>
      <c r="G293" t="s">
        <v>33</v>
      </c>
      <c r="H293" t="s">
        <v>26</v>
      </c>
      <c r="I293">
        <v>7</v>
      </c>
      <c r="J293">
        <v>30</v>
      </c>
      <c r="K293">
        <v>89</v>
      </c>
      <c r="L293">
        <v>30</v>
      </c>
      <c r="M293">
        <v>1025.2</v>
      </c>
      <c r="N293">
        <v>1021.8</v>
      </c>
      <c r="O293">
        <v>6</v>
      </c>
      <c r="P293">
        <v>11.2</v>
      </c>
      <c r="Q293" t="s">
        <v>19</v>
      </c>
      <c r="S293">
        <v>13</v>
      </c>
      <c r="T293">
        <v>32.018744510052237</v>
      </c>
      <c r="U293">
        <v>5.66</v>
      </c>
      <c r="W293">
        <f t="shared" si="42"/>
        <v>30</v>
      </c>
      <c r="X293">
        <f t="shared" si="43"/>
        <v>39</v>
      </c>
      <c r="Y293">
        <f t="shared" si="44"/>
        <v>43.8</v>
      </c>
      <c r="Z293">
        <f t="shared" si="45"/>
        <v>30</v>
      </c>
      <c r="AA293">
        <f t="shared" si="46"/>
        <v>22</v>
      </c>
      <c r="AB293">
        <f t="shared" si="47"/>
        <v>50</v>
      </c>
      <c r="AC293" t="str">
        <f t="shared" si="48"/>
        <v>N</v>
      </c>
      <c r="AD293" t="str">
        <f t="shared" si="49"/>
        <v>W</v>
      </c>
      <c r="AE293">
        <f t="shared" si="50"/>
        <v>3</v>
      </c>
    </row>
    <row r="294" spans="1:31" x14ac:dyDescent="0.25">
      <c r="A294">
        <v>-5.3</v>
      </c>
      <c r="B294">
        <v>13.1</v>
      </c>
      <c r="C294">
        <v>0</v>
      </c>
      <c r="D294">
        <v>2.2000000000000002</v>
      </c>
      <c r="E294">
        <v>7.9</v>
      </c>
      <c r="F294">
        <v>33</v>
      </c>
      <c r="G294" t="s">
        <v>24</v>
      </c>
      <c r="H294" t="s">
        <v>33</v>
      </c>
      <c r="I294">
        <v>4</v>
      </c>
      <c r="J294">
        <v>20</v>
      </c>
      <c r="K294">
        <v>94</v>
      </c>
      <c r="L294">
        <v>47</v>
      </c>
      <c r="M294">
        <v>1029.5999999999999</v>
      </c>
      <c r="N294">
        <v>1025.5999999999999</v>
      </c>
      <c r="O294">
        <v>6</v>
      </c>
      <c r="P294">
        <v>12.2</v>
      </c>
      <c r="Q294" t="s">
        <v>19</v>
      </c>
      <c r="S294">
        <v>13</v>
      </c>
      <c r="T294">
        <v>32.087380697090246</v>
      </c>
      <c r="U294">
        <v>5.66</v>
      </c>
      <c r="W294">
        <f t="shared" si="42"/>
        <v>20</v>
      </c>
      <c r="X294">
        <f t="shared" si="43"/>
        <v>41.25</v>
      </c>
      <c r="Y294">
        <f t="shared" si="44"/>
        <v>31.9</v>
      </c>
      <c r="Z294">
        <f t="shared" si="45"/>
        <v>47</v>
      </c>
      <c r="AA294">
        <f t="shared" si="46"/>
        <v>55</v>
      </c>
      <c r="AB294">
        <f t="shared" si="47"/>
        <v>19</v>
      </c>
      <c r="AC294" t="str">
        <f t="shared" si="48"/>
        <v>N</v>
      </c>
      <c r="AD294" t="str">
        <f t="shared" si="49"/>
        <v>W</v>
      </c>
      <c r="AE294">
        <f t="shared" si="50"/>
        <v>1</v>
      </c>
    </row>
    <row r="295" spans="1:31" x14ac:dyDescent="0.25">
      <c r="A295">
        <v>0</v>
      </c>
      <c r="B295">
        <v>14</v>
      </c>
      <c r="C295">
        <v>0</v>
      </c>
      <c r="D295">
        <v>2.4</v>
      </c>
      <c r="E295">
        <v>4.7</v>
      </c>
      <c r="F295">
        <v>39</v>
      </c>
      <c r="G295" t="s">
        <v>33</v>
      </c>
      <c r="H295" t="s">
        <v>26</v>
      </c>
      <c r="I295">
        <v>13</v>
      </c>
      <c r="J295">
        <v>24</v>
      </c>
      <c r="K295">
        <v>60</v>
      </c>
      <c r="L295">
        <v>36</v>
      </c>
      <c r="M295">
        <v>1027.3</v>
      </c>
      <c r="N295">
        <v>1024.4000000000001</v>
      </c>
      <c r="O295">
        <v>7</v>
      </c>
      <c r="P295">
        <v>12.4</v>
      </c>
      <c r="Q295" t="s">
        <v>19</v>
      </c>
      <c r="S295">
        <v>14</v>
      </c>
      <c r="T295">
        <v>32.051521024750137</v>
      </c>
      <c r="U295">
        <v>5.66</v>
      </c>
      <c r="W295">
        <f t="shared" si="42"/>
        <v>24</v>
      </c>
      <c r="X295">
        <f t="shared" si="43"/>
        <v>33.25</v>
      </c>
      <c r="Y295">
        <f t="shared" si="44"/>
        <v>41.7</v>
      </c>
      <c r="Z295">
        <f t="shared" si="45"/>
        <v>36</v>
      </c>
      <c r="AA295">
        <f t="shared" si="46"/>
        <v>47</v>
      </c>
      <c r="AB295">
        <f t="shared" si="47"/>
        <v>23</v>
      </c>
      <c r="AC295" t="str">
        <f t="shared" si="48"/>
        <v>N</v>
      </c>
      <c r="AD295" t="str">
        <f t="shared" si="49"/>
        <v>W</v>
      </c>
      <c r="AE295">
        <f t="shared" si="50"/>
        <v>3</v>
      </c>
    </row>
    <row r="296" spans="1:31" x14ac:dyDescent="0.25">
      <c r="A296">
        <v>2.4</v>
      </c>
      <c r="B296">
        <v>14.1</v>
      </c>
      <c r="C296">
        <v>0</v>
      </c>
      <c r="D296">
        <v>3</v>
      </c>
      <c r="E296">
        <v>1.8</v>
      </c>
      <c r="F296">
        <v>46</v>
      </c>
      <c r="G296" t="s">
        <v>33</v>
      </c>
      <c r="H296" t="s">
        <v>17</v>
      </c>
      <c r="I296">
        <v>15</v>
      </c>
      <c r="J296">
        <v>30</v>
      </c>
      <c r="K296">
        <v>50</v>
      </c>
      <c r="L296">
        <v>27</v>
      </c>
      <c r="M296">
        <v>1021.4</v>
      </c>
      <c r="N296">
        <v>1017.8</v>
      </c>
      <c r="O296">
        <v>8</v>
      </c>
      <c r="P296">
        <v>13.2</v>
      </c>
      <c r="Q296" t="s">
        <v>19</v>
      </c>
      <c r="S296">
        <v>14</v>
      </c>
      <c r="T296">
        <v>31.959349179856588</v>
      </c>
      <c r="U296">
        <v>5.65</v>
      </c>
      <c r="W296">
        <f t="shared" si="42"/>
        <v>30</v>
      </c>
      <c r="X296">
        <f t="shared" si="43"/>
        <v>30.5</v>
      </c>
      <c r="Y296">
        <f t="shared" si="44"/>
        <v>46.8</v>
      </c>
      <c r="Z296">
        <f t="shared" si="45"/>
        <v>27</v>
      </c>
      <c r="AA296">
        <f t="shared" si="46"/>
        <v>26</v>
      </c>
      <c r="AB296">
        <f t="shared" si="47"/>
        <v>41</v>
      </c>
      <c r="AC296" t="str">
        <f t="shared" si="48"/>
        <v>N</v>
      </c>
      <c r="AD296" t="str">
        <f t="shared" si="49"/>
        <v>W</v>
      </c>
      <c r="AE296">
        <f t="shared" si="50"/>
        <v>3</v>
      </c>
    </row>
    <row r="297" spans="1:31" x14ac:dyDescent="0.25">
      <c r="A297">
        <v>-0.6</v>
      </c>
      <c r="B297">
        <v>12.2</v>
      </c>
      <c r="C297">
        <v>0</v>
      </c>
      <c r="D297">
        <v>2.6</v>
      </c>
      <c r="E297">
        <v>7</v>
      </c>
      <c r="F297">
        <v>59</v>
      </c>
      <c r="G297" t="s">
        <v>30</v>
      </c>
      <c r="H297" t="s">
        <v>30</v>
      </c>
      <c r="I297">
        <v>15</v>
      </c>
      <c r="J297">
        <v>26</v>
      </c>
      <c r="K297">
        <v>66</v>
      </c>
      <c r="L297">
        <v>44</v>
      </c>
      <c r="M297">
        <v>1018.5</v>
      </c>
      <c r="N297">
        <v>1016.8</v>
      </c>
      <c r="O297">
        <v>8</v>
      </c>
      <c r="P297">
        <v>10.7</v>
      </c>
      <c r="Q297" t="s">
        <v>19</v>
      </c>
      <c r="S297">
        <v>12</v>
      </c>
      <c r="T297">
        <v>31.913946794465897</v>
      </c>
      <c r="U297">
        <v>5.65</v>
      </c>
      <c r="W297">
        <f t="shared" si="42"/>
        <v>26</v>
      </c>
      <c r="X297">
        <f t="shared" si="43"/>
        <v>37.75</v>
      </c>
      <c r="Y297">
        <f t="shared" si="44"/>
        <v>48</v>
      </c>
      <c r="Z297">
        <f t="shared" si="45"/>
        <v>44</v>
      </c>
      <c r="AA297">
        <f t="shared" si="46"/>
        <v>12</v>
      </c>
      <c r="AB297">
        <f t="shared" si="47"/>
        <v>59</v>
      </c>
      <c r="AC297" t="str">
        <f t="shared" si="48"/>
        <v>N</v>
      </c>
      <c r="AD297" t="str">
        <f t="shared" si="49"/>
        <v>S</v>
      </c>
      <c r="AE297">
        <f t="shared" si="50"/>
        <v>1</v>
      </c>
    </row>
    <row r="298" spans="1:31" x14ac:dyDescent="0.25">
      <c r="A298">
        <v>2.2999999999999998</v>
      </c>
      <c r="B298">
        <v>11.6</v>
      </c>
      <c r="C298">
        <v>0</v>
      </c>
      <c r="D298">
        <v>5.4</v>
      </c>
      <c r="E298">
        <v>9.5</v>
      </c>
      <c r="F298">
        <v>54</v>
      </c>
      <c r="G298" t="s">
        <v>34</v>
      </c>
      <c r="H298" t="s">
        <v>28</v>
      </c>
      <c r="I298">
        <v>30</v>
      </c>
      <c r="J298">
        <v>17</v>
      </c>
      <c r="K298">
        <v>49</v>
      </c>
      <c r="L298">
        <v>38</v>
      </c>
      <c r="M298">
        <v>1025.9000000000001</v>
      </c>
      <c r="N298">
        <v>1025.5</v>
      </c>
      <c r="O298">
        <v>1</v>
      </c>
      <c r="P298">
        <v>11.1</v>
      </c>
      <c r="Q298" t="s">
        <v>19</v>
      </c>
      <c r="S298">
        <v>12</v>
      </c>
      <c r="T298">
        <v>32.029673741703959</v>
      </c>
      <c r="U298">
        <v>5.66</v>
      </c>
      <c r="W298">
        <f t="shared" si="42"/>
        <v>30</v>
      </c>
      <c r="X298">
        <f t="shared" si="43"/>
        <v>33.5</v>
      </c>
      <c r="Y298">
        <f t="shared" si="44"/>
        <v>56.5</v>
      </c>
      <c r="Z298">
        <f t="shared" si="45"/>
        <v>38</v>
      </c>
      <c r="AA298">
        <f t="shared" si="46"/>
        <v>14</v>
      </c>
      <c r="AB298">
        <f t="shared" si="47"/>
        <v>57</v>
      </c>
      <c r="AC298" t="str">
        <f t="shared" si="48"/>
        <v>N</v>
      </c>
      <c r="AD298" t="str">
        <f t="shared" si="49"/>
        <v>E</v>
      </c>
      <c r="AE298">
        <f t="shared" si="50"/>
        <v>3</v>
      </c>
    </row>
    <row r="299" spans="1:31" x14ac:dyDescent="0.25">
      <c r="A299">
        <v>-3.7</v>
      </c>
      <c r="B299">
        <v>14.4</v>
      </c>
      <c r="C299">
        <v>0</v>
      </c>
      <c r="D299">
        <v>2.6</v>
      </c>
      <c r="E299">
        <v>10.4</v>
      </c>
      <c r="F299">
        <v>22</v>
      </c>
      <c r="G299" t="s">
        <v>24</v>
      </c>
      <c r="H299" t="s">
        <v>33</v>
      </c>
      <c r="I299">
        <v>2</v>
      </c>
      <c r="J299">
        <v>11</v>
      </c>
      <c r="K299">
        <v>64</v>
      </c>
      <c r="L299">
        <v>28</v>
      </c>
      <c r="M299">
        <v>1031</v>
      </c>
      <c r="N299">
        <v>1028</v>
      </c>
      <c r="O299">
        <v>0</v>
      </c>
      <c r="P299">
        <v>14</v>
      </c>
      <c r="Q299" t="s">
        <v>19</v>
      </c>
      <c r="S299">
        <v>14</v>
      </c>
      <c r="T299">
        <v>32.109188716004645</v>
      </c>
      <c r="U299">
        <v>5.67</v>
      </c>
      <c r="W299">
        <f t="shared" si="42"/>
        <v>11</v>
      </c>
      <c r="X299">
        <f t="shared" si="43"/>
        <v>26.25</v>
      </c>
      <c r="Y299">
        <f t="shared" si="44"/>
        <v>23.4</v>
      </c>
      <c r="Z299">
        <f t="shared" si="45"/>
        <v>28</v>
      </c>
      <c r="AA299">
        <f t="shared" si="46"/>
        <v>68</v>
      </c>
      <c r="AB299">
        <f t="shared" si="47"/>
        <v>2</v>
      </c>
      <c r="AC299" t="str">
        <f t="shared" si="48"/>
        <v>N</v>
      </c>
      <c r="AD299" t="str">
        <f t="shared" si="49"/>
        <v>W</v>
      </c>
      <c r="AE299">
        <f t="shared" si="50"/>
        <v>1</v>
      </c>
    </row>
    <row r="300" spans="1:31" x14ac:dyDescent="0.25">
      <c r="A300">
        <v>-0.9</v>
      </c>
      <c r="B300">
        <v>14.2</v>
      </c>
      <c r="C300">
        <v>0</v>
      </c>
      <c r="D300">
        <v>2.6</v>
      </c>
      <c r="E300">
        <v>7.8</v>
      </c>
      <c r="F300">
        <v>31</v>
      </c>
      <c r="G300" t="s">
        <v>34</v>
      </c>
      <c r="H300" t="s">
        <v>24</v>
      </c>
      <c r="I300">
        <v>7</v>
      </c>
      <c r="J300">
        <v>19</v>
      </c>
      <c r="K300">
        <v>82</v>
      </c>
      <c r="L300">
        <v>34</v>
      </c>
      <c r="M300">
        <v>1030.2</v>
      </c>
      <c r="N300">
        <v>1024.4000000000001</v>
      </c>
      <c r="O300">
        <v>7</v>
      </c>
      <c r="P300">
        <v>12.8</v>
      </c>
      <c r="Q300" t="s">
        <v>19</v>
      </c>
      <c r="S300">
        <v>14</v>
      </c>
      <c r="T300">
        <v>32.096728805284819</v>
      </c>
      <c r="U300">
        <v>5.67</v>
      </c>
      <c r="W300">
        <f t="shared" si="42"/>
        <v>19</v>
      </c>
      <c r="X300">
        <f t="shared" si="43"/>
        <v>35.5</v>
      </c>
      <c r="Y300">
        <f t="shared" si="44"/>
        <v>33.799999999999997</v>
      </c>
      <c r="Z300">
        <f t="shared" si="45"/>
        <v>34</v>
      </c>
      <c r="AA300">
        <f t="shared" si="46"/>
        <v>52</v>
      </c>
      <c r="AB300">
        <f t="shared" si="47"/>
        <v>10</v>
      </c>
      <c r="AC300" t="str">
        <f t="shared" si="48"/>
        <v>N</v>
      </c>
      <c r="AD300" t="str">
        <f t="shared" si="49"/>
        <v>N</v>
      </c>
      <c r="AE300">
        <f t="shared" si="50"/>
        <v>3</v>
      </c>
    </row>
    <row r="301" spans="1:31" x14ac:dyDescent="0.25">
      <c r="A301">
        <v>-1.5</v>
      </c>
      <c r="B301">
        <v>17.3</v>
      </c>
      <c r="C301">
        <v>0</v>
      </c>
      <c r="D301">
        <v>2.8</v>
      </c>
      <c r="E301">
        <v>9</v>
      </c>
      <c r="F301">
        <v>48</v>
      </c>
      <c r="G301" t="s">
        <v>35</v>
      </c>
      <c r="H301" t="s">
        <v>26</v>
      </c>
      <c r="I301">
        <v>0</v>
      </c>
      <c r="J301">
        <v>26</v>
      </c>
      <c r="K301">
        <v>77</v>
      </c>
      <c r="L301">
        <v>23</v>
      </c>
      <c r="M301">
        <v>1023.9</v>
      </c>
      <c r="N301">
        <v>1020.3</v>
      </c>
      <c r="O301">
        <v>5</v>
      </c>
      <c r="P301">
        <v>15.8</v>
      </c>
      <c r="Q301" t="s">
        <v>19</v>
      </c>
      <c r="S301">
        <v>17</v>
      </c>
      <c r="T301">
        <v>31.998437461851164</v>
      </c>
      <c r="U301">
        <v>5.66</v>
      </c>
      <c r="W301">
        <f t="shared" si="42"/>
        <v>26</v>
      </c>
      <c r="X301">
        <f t="shared" si="43"/>
        <v>31.5</v>
      </c>
      <c r="Y301">
        <f t="shared" si="44"/>
        <v>35</v>
      </c>
      <c r="Z301">
        <f t="shared" si="45"/>
        <v>23</v>
      </c>
      <c r="AA301">
        <f t="shared" si="46"/>
        <v>20</v>
      </c>
      <c r="AB301">
        <f t="shared" si="47"/>
        <v>45</v>
      </c>
      <c r="AC301" t="str">
        <f t="shared" si="48"/>
        <v>N</v>
      </c>
      <c r="AD301" t="str">
        <f t="shared" si="49"/>
        <v>W</v>
      </c>
      <c r="AE301">
        <f t="shared" si="50"/>
        <v>2</v>
      </c>
    </row>
    <row r="302" spans="1:31" x14ac:dyDescent="0.25">
      <c r="A302">
        <v>-3.3</v>
      </c>
      <c r="B302">
        <v>15.1</v>
      </c>
      <c r="C302">
        <v>0</v>
      </c>
      <c r="D302">
        <v>3</v>
      </c>
      <c r="E302" t="s">
        <v>35</v>
      </c>
      <c r="F302">
        <v>30</v>
      </c>
      <c r="G302" t="s">
        <v>27</v>
      </c>
      <c r="H302" t="s">
        <v>29</v>
      </c>
      <c r="I302">
        <v>9</v>
      </c>
      <c r="J302">
        <v>13</v>
      </c>
      <c r="K302">
        <v>57</v>
      </c>
      <c r="L302">
        <v>23</v>
      </c>
      <c r="M302">
        <v>1027.7</v>
      </c>
      <c r="N302">
        <v>1025.5</v>
      </c>
      <c r="O302">
        <v>1</v>
      </c>
      <c r="P302">
        <v>14.4</v>
      </c>
      <c r="Q302" t="s">
        <v>19</v>
      </c>
      <c r="S302">
        <v>15</v>
      </c>
      <c r="T302">
        <v>32.057760370930467</v>
      </c>
      <c r="U302">
        <v>5.66</v>
      </c>
      <c r="W302">
        <f t="shared" si="42"/>
        <v>13</v>
      </c>
      <c r="X302">
        <f t="shared" si="43"/>
        <v>25.5</v>
      </c>
      <c r="Y302">
        <f t="shared" si="44"/>
        <v>22</v>
      </c>
      <c r="Z302">
        <f t="shared" si="45"/>
        <v>23</v>
      </c>
      <c r="AA302">
        <f t="shared" si="46"/>
        <v>58</v>
      </c>
      <c r="AB302">
        <f t="shared" si="47"/>
        <v>6</v>
      </c>
      <c r="AC302" t="str">
        <f t="shared" si="48"/>
        <v>N</v>
      </c>
      <c r="AD302" t="str">
        <f t="shared" si="49"/>
        <v>E</v>
      </c>
      <c r="AE302">
        <f t="shared" si="50"/>
        <v>3</v>
      </c>
    </row>
    <row r="303" spans="1:31" x14ac:dyDescent="0.25">
      <c r="A303">
        <v>-0.1</v>
      </c>
      <c r="B303">
        <v>14.7</v>
      </c>
      <c r="C303">
        <v>0</v>
      </c>
      <c r="D303">
        <v>3.4</v>
      </c>
      <c r="E303">
        <v>9.9</v>
      </c>
      <c r="F303">
        <v>30</v>
      </c>
      <c r="G303" t="s">
        <v>29</v>
      </c>
      <c r="H303" t="s">
        <v>32</v>
      </c>
      <c r="I303">
        <v>6</v>
      </c>
      <c r="J303">
        <v>15</v>
      </c>
      <c r="K303">
        <v>60</v>
      </c>
      <c r="L303">
        <v>43</v>
      </c>
      <c r="M303">
        <v>1029.9000000000001</v>
      </c>
      <c r="N303">
        <v>1025.9000000000001</v>
      </c>
      <c r="O303">
        <v>1</v>
      </c>
      <c r="P303">
        <v>12.3</v>
      </c>
      <c r="Q303" t="s">
        <v>19</v>
      </c>
      <c r="S303">
        <v>15</v>
      </c>
      <c r="T303">
        <v>32.092055091564333</v>
      </c>
      <c r="U303">
        <v>5.66</v>
      </c>
      <c r="W303">
        <f t="shared" si="42"/>
        <v>15</v>
      </c>
      <c r="X303">
        <f t="shared" si="43"/>
        <v>31</v>
      </c>
      <c r="Y303">
        <f t="shared" si="44"/>
        <v>30.9</v>
      </c>
      <c r="Z303">
        <f t="shared" si="45"/>
        <v>43</v>
      </c>
      <c r="AA303">
        <f t="shared" si="46"/>
        <v>58</v>
      </c>
      <c r="AB303">
        <f t="shared" si="47"/>
        <v>6</v>
      </c>
      <c r="AC303" t="str">
        <f t="shared" si="48"/>
        <v>N</v>
      </c>
      <c r="AD303" t="str">
        <f t="shared" si="49"/>
        <v>E</v>
      </c>
      <c r="AE303">
        <f t="shared" si="50"/>
        <v>2</v>
      </c>
    </row>
    <row r="304" spans="1:31" x14ac:dyDescent="0.25">
      <c r="A304">
        <v>-0.2</v>
      </c>
      <c r="B304">
        <v>16.2</v>
      </c>
      <c r="C304">
        <v>0</v>
      </c>
      <c r="D304">
        <v>3.4</v>
      </c>
      <c r="E304">
        <v>5.9</v>
      </c>
      <c r="F304">
        <v>28</v>
      </c>
      <c r="G304" t="s">
        <v>35</v>
      </c>
      <c r="H304" t="s">
        <v>21</v>
      </c>
      <c r="I304">
        <v>0</v>
      </c>
      <c r="J304">
        <v>20</v>
      </c>
      <c r="K304">
        <v>74</v>
      </c>
      <c r="L304">
        <v>45</v>
      </c>
      <c r="M304">
        <v>1027.5999999999999</v>
      </c>
      <c r="N304">
        <v>1022.9</v>
      </c>
      <c r="O304">
        <v>7</v>
      </c>
      <c r="P304">
        <v>14.6</v>
      </c>
      <c r="Q304" t="s">
        <v>19</v>
      </c>
      <c r="S304">
        <v>16</v>
      </c>
      <c r="T304">
        <v>32.056200648236526</v>
      </c>
      <c r="U304">
        <v>5.66</v>
      </c>
      <c r="W304">
        <f t="shared" si="42"/>
        <v>20</v>
      </c>
      <c r="X304">
        <f t="shared" si="43"/>
        <v>34.75</v>
      </c>
      <c r="Y304">
        <f t="shared" si="44"/>
        <v>25.9</v>
      </c>
      <c r="Z304">
        <f t="shared" si="45"/>
        <v>45</v>
      </c>
      <c r="AA304">
        <f t="shared" si="46"/>
        <v>60</v>
      </c>
      <c r="AB304">
        <f t="shared" si="47"/>
        <v>3</v>
      </c>
      <c r="AC304" t="str">
        <f t="shared" si="48"/>
        <v>N</v>
      </c>
      <c r="AD304" t="str">
        <f t="shared" si="49"/>
        <v>E</v>
      </c>
      <c r="AE304">
        <f t="shared" si="50"/>
        <v>2</v>
      </c>
    </row>
    <row r="305" spans="1:31" x14ac:dyDescent="0.25">
      <c r="A305">
        <v>0.5</v>
      </c>
      <c r="B305">
        <v>16.3</v>
      </c>
      <c r="C305">
        <v>0</v>
      </c>
      <c r="D305">
        <v>1.8</v>
      </c>
      <c r="E305">
        <v>4.0999999999999996</v>
      </c>
      <c r="F305">
        <v>39</v>
      </c>
      <c r="G305" t="s">
        <v>34</v>
      </c>
      <c r="H305" t="s">
        <v>31</v>
      </c>
      <c r="I305">
        <v>4</v>
      </c>
      <c r="J305">
        <v>6</v>
      </c>
      <c r="K305">
        <v>81</v>
      </c>
      <c r="L305">
        <v>45</v>
      </c>
      <c r="M305">
        <v>1023.7</v>
      </c>
      <c r="N305">
        <v>1017.5</v>
      </c>
      <c r="O305">
        <v>7</v>
      </c>
      <c r="P305">
        <v>15.4</v>
      </c>
      <c r="Q305" t="s">
        <v>19</v>
      </c>
      <c r="S305">
        <v>16</v>
      </c>
      <c r="T305">
        <v>31.995312156626944</v>
      </c>
      <c r="U305">
        <v>5.66</v>
      </c>
      <c r="W305">
        <f t="shared" si="42"/>
        <v>6</v>
      </c>
      <c r="X305">
        <f t="shared" si="43"/>
        <v>34</v>
      </c>
      <c r="Y305">
        <f t="shared" si="44"/>
        <v>14.1</v>
      </c>
      <c r="Z305">
        <f t="shared" si="45"/>
        <v>45</v>
      </c>
      <c r="AA305">
        <f t="shared" si="46"/>
        <v>43</v>
      </c>
      <c r="AB305">
        <f t="shared" si="47"/>
        <v>18</v>
      </c>
      <c r="AC305" t="str">
        <f t="shared" si="48"/>
        <v>N</v>
      </c>
      <c r="AD305" t="str">
        <f t="shared" si="49"/>
        <v>W</v>
      </c>
      <c r="AE305">
        <f t="shared" si="50"/>
        <v>3</v>
      </c>
    </row>
    <row r="306" spans="1:31" x14ac:dyDescent="0.25">
      <c r="A306">
        <v>6.1</v>
      </c>
      <c r="B306">
        <v>17.2</v>
      </c>
      <c r="C306">
        <v>4</v>
      </c>
      <c r="D306">
        <v>2.2000000000000002</v>
      </c>
      <c r="E306">
        <v>2.4</v>
      </c>
      <c r="F306">
        <v>59</v>
      </c>
      <c r="G306" t="s">
        <v>17</v>
      </c>
      <c r="H306" t="s">
        <v>26</v>
      </c>
      <c r="I306">
        <v>24</v>
      </c>
      <c r="J306">
        <v>15</v>
      </c>
      <c r="K306">
        <v>89</v>
      </c>
      <c r="L306">
        <v>85</v>
      </c>
      <c r="M306">
        <v>1011.2</v>
      </c>
      <c r="N306">
        <v>1010.4</v>
      </c>
      <c r="O306">
        <v>7</v>
      </c>
      <c r="P306">
        <v>12.6</v>
      </c>
      <c r="Q306" t="s">
        <v>20</v>
      </c>
      <c r="S306">
        <v>17</v>
      </c>
      <c r="T306">
        <v>31.799371062962866</v>
      </c>
      <c r="U306">
        <v>5.64</v>
      </c>
      <c r="W306">
        <f t="shared" si="42"/>
        <v>24</v>
      </c>
      <c r="X306">
        <f t="shared" si="43"/>
        <v>53.25</v>
      </c>
      <c r="Y306">
        <f t="shared" si="44"/>
        <v>41.4</v>
      </c>
      <c r="Z306">
        <f t="shared" si="45"/>
        <v>85</v>
      </c>
      <c r="AA306">
        <f t="shared" si="46"/>
        <v>12</v>
      </c>
      <c r="AB306">
        <f t="shared" si="47"/>
        <v>51</v>
      </c>
      <c r="AC306" t="str">
        <f t="shared" si="48"/>
        <v>Y</v>
      </c>
      <c r="AD306" t="str">
        <f t="shared" si="49"/>
        <v>W</v>
      </c>
      <c r="AE306">
        <f t="shared" si="50"/>
        <v>2</v>
      </c>
    </row>
    <row r="307" spans="1:31" x14ac:dyDescent="0.25">
      <c r="A307">
        <v>4.0999999999999996</v>
      </c>
      <c r="B307">
        <v>14.8</v>
      </c>
      <c r="C307">
        <v>7.4</v>
      </c>
      <c r="D307">
        <v>2.6</v>
      </c>
      <c r="E307">
        <v>10.8</v>
      </c>
      <c r="F307">
        <v>46</v>
      </c>
      <c r="G307" t="s">
        <v>17</v>
      </c>
      <c r="H307" t="s">
        <v>23</v>
      </c>
      <c r="I307">
        <v>20</v>
      </c>
      <c r="J307">
        <v>28</v>
      </c>
      <c r="K307">
        <v>60</v>
      </c>
      <c r="L307">
        <v>34</v>
      </c>
      <c r="M307">
        <v>1023.2</v>
      </c>
      <c r="N307">
        <v>1021.7</v>
      </c>
      <c r="O307">
        <v>1</v>
      </c>
      <c r="P307">
        <v>14.3</v>
      </c>
      <c r="Q307" t="s">
        <v>20</v>
      </c>
      <c r="S307">
        <v>15</v>
      </c>
      <c r="T307">
        <v>31.98749755763961</v>
      </c>
      <c r="U307">
        <v>5.66</v>
      </c>
      <c r="W307">
        <f t="shared" si="42"/>
        <v>28</v>
      </c>
      <c r="X307">
        <f t="shared" si="43"/>
        <v>35.5</v>
      </c>
      <c r="Y307">
        <f t="shared" si="44"/>
        <v>58.8</v>
      </c>
      <c r="Z307">
        <f t="shared" si="45"/>
        <v>34</v>
      </c>
      <c r="AA307">
        <f t="shared" si="46"/>
        <v>22</v>
      </c>
      <c r="AB307">
        <f t="shared" si="47"/>
        <v>35</v>
      </c>
      <c r="AC307" t="str">
        <f t="shared" si="48"/>
        <v>Y</v>
      </c>
      <c r="AD307" t="str">
        <f t="shared" si="49"/>
        <v>W</v>
      </c>
      <c r="AE307">
        <f t="shared" si="50"/>
        <v>2</v>
      </c>
    </row>
    <row r="308" spans="1:31" x14ac:dyDescent="0.25">
      <c r="A308">
        <v>0.1</v>
      </c>
      <c r="B308">
        <v>16.7</v>
      </c>
      <c r="C308">
        <v>0</v>
      </c>
      <c r="D308">
        <v>3.8</v>
      </c>
      <c r="E308">
        <v>10.199999999999999</v>
      </c>
      <c r="F308">
        <v>28</v>
      </c>
      <c r="G308" t="s">
        <v>28</v>
      </c>
      <c r="H308" t="s">
        <v>25</v>
      </c>
      <c r="I308">
        <v>2</v>
      </c>
      <c r="J308">
        <v>13</v>
      </c>
      <c r="K308">
        <v>69</v>
      </c>
      <c r="L308">
        <v>44</v>
      </c>
      <c r="M308">
        <v>1027</v>
      </c>
      <c r="N308">
        <v>1024.8</v>
      </c>
      <c r="O308">
        <v>1</v>
      </c>
      <c r="P308">
        <v>14.9</v>
      </c>
      <c r="Q308" t="s">
        <v>19</v>
      </c>
      <c r="S308">
        <v>17</v>
      </c>
      <c r="T308">
        <v>32.046840717924134</v>
      </c>
      <c r="U308">
        <v>5.66</v>
      </c>
      <c r="W308">
        <f t="shared" si="42"/>
        <v>13</v>
      </c>
      <c r="X308">
        <f t="shared" si="43"/>
        <v>32</v>
      </c>
      <c r="Y308">
        <f t="shared" si="44"/>
        <v>25.2</v>
      </c>
      <c r="Z308">
        <f t="shared" si="45"/>
        <v>44</v>
      </c>
      <c r="AA308">
        <f t="shared" si="46"/>
        <v>57</v>
      </c>
      <c r="AB308">
        <f t="shared" si="47"/>
        <v>3</v>
      </c>
      <c r="AC308" t="str">
        <f t="shared" si="48"/>
        <v>N</v>
      </c>
      <c r="AD308" t="str">
        <f t="shared" si="49"/>
        <v>E</v>
      </c>
      <c r="AE308">
        <f t="shared" si="50"/>
        <v>3</v>
      </c>
    </row>
    <row r="309" spans="1:31" x14ac:dyDescent="0.25">
      <c r="A309">
        <v>3.2</v>
      </c>
      <c r="B309">
        <v>12.1</v>
      </c>
      <c r="C309">
        <v>0</v>
      </c>
      <c r="D309">
        <v>2.8</v>
      </c>
      <c r="E309">
        <v>3.9</v>
      </c>
      <c r="F309">
        <v>41</v>
      </c>
      <c r="G309" t="s">
        <v>29</v>
      </c>
      <c r="H309" t="s">
        <v>29</v>
      </c>
      <c r="I309">
        <v>17</v>
      </c>
      <c r="J309">
        <v>20</v>
      </c>
      <c r="K309">
        <v>69</v>
      </c>
      <c r="L309">
        <v>51</v>
      </c>
      <c r="M309">
        <v>1033.5999999999999</v>
      </c>
      <c r="N309">
        <v>1033.2</v>
      </c>
      <c r="O309">
        <v>7</v>
      </c>
      <c r="P309">
        <v>11.1</v>
      </c>
      <c r="Q309" t="s">
        <v>19</v>
      </c>
      <c r="S309">
        <v>12</v>
      </c>
      <c r="T309">
        <v>32.149650075856187</v>
      </c>
      <c r="U309">
        <v>5.67</v>
      </c>
      <c r="W309">
        <f t="shared" si="42"/>
        <v>20</v>
      </c>
      <c r="X309">
        <f t="shared" si="43"/>
        <v>39.25</v>
      </c>
      <c r="Y309">
        <f t="shared" si="44"/>
        <v>40.9</v>
      </c>
      <c r="Z309">
        <f t="shared" si="45"/>
        <v>51</v>
      </c>
      <c r="AA309">
        <f t="shared" si="46"/>
        <v>37</v>
      </c>
      <c r="AB309">
        <f t="shared" si="47"/>
        <v>20</v>
      </c>
      <c r="AC309" t="str">
        <f t="shared" si="48"/>
        <v>N</v>
      </c>
      <c r="AD309" t="str">
        <f t="shared" si="49"/>
        <v>E</v>
      </c>
      <c r="AE309">
        <f t="shared" si="50"/>
        <v>2</v>
      </c>
    </row>
    <row r="310" spans="1:31" x14ac:dyDescent="0.25">
      <c r="A310">
        <v>5.4</v>
      </c>
      <c r="B310">
        <v>11.3</v>
      </c>
      <c r="C310">
        <v>0.2</v>
      </c>
      <c r="D310">
        <v>2.2000000000000002</v>
      </c>
      <c r="E310">
        <v>0.6</v>
      </c>
      <c r="F310">
        <v>35</v>
      </c>
      <c r="G310" t="s">
        <v>29</v>
      </c>
      <c r="H310" t="s">
        <v>28</v>
      </c>
      <c r="I310">
        <v>11</v>
      </c>
      <c r="J310">
        <v>17</v>
      </c>
      <c r="K310">
        <v>65</v>
      </c>
      <c r="L310">
        <v>61</v>
      </c>
      <c r="M310">
        <v>1035.7</v>
      </c>
      <c r="N310">
        <v>1031.9000000000001</v>
      </c>
      <c r="O310">
        <v>7</v>
      </c>
      <c r="P310">
        <v>10.199999999999999</v>
      </c>
      <c r="Q310" t="s">
        <v>19</v>
      </c>
      <c r="S310">
        <v>11</v>
      </c>
      <c r="T310">
        <v>32.182293268193305</v>
      </c>
      <c r="U310">
        <v>5.67</v>
      </c>
      <c r="W310">
        <f t="shared" si="42"/>
        <v>17</v>
      </c>
      <c r="X310">
        <f t="shared" si="43"/>
        <v>38.5</v>
      </c>
      <c r="Y310">
        <f t="shared" si="44"/>
        <v>28.6</v>
      </c>
      <c r="Z310">
        <f t="shared" si="45"/>
        <v>61</v>
      </c>
      <c r="AA310">
        <f t="shared" si="46"/>
        <v>43</v>
      </c>
      <c r="AB310">
        <f t="shared" si="47"/>
        <v>14</v>
      </c>
      <c r="AC310" t="str">
        <f t="shared" si="48"/>
        <v>N</v>
      </c>
      <c r="AD310" t="str">
        <f t="shared" si="49"/>
        <v>E</v>
      </c>
      <c r="AE310">
        <f t="shared" si="50"/>
        <v>2</v>
      </c>
    </row>
    <row r="311" spans="1:31" x14ac:dyDescent="0.25">
      <c r="A311">
        <v>5.8</v>
      </c>
      <c r="B311">
        <v>12.4</v>
      </c>
      <c r="C311">
        <v>0</v>
      </c>
      <c r="D311">
        <v>1.6</v>
      </c>
      <c r="E311">
        <v>0</v>
      </c>
      <c r="F311">
        <v>26</v>
      </c>
      <c r="G311" t="s">
        <v>27</v>
      </c>
      <c r="H311" t="s">
        <v>28</v>
      </c>
      <c r="I311">
        <v>13</v>
      </c>
      <c r="J311">
        <v>13</v>
      </c>
      <c r="K311">
        <v>79</v>
      </c>
      <c r="L311">
        <v>73</v>
      </c>
      <c r="M311">
        <v>1027.3</v>
      </c>
      <c r="N311">
        <v>1023.5</v>
      </c>
      <c r="O311">
        <v>8</v>
      </c>
      <c r="P311">
        <v>10.8</v>
      </c>
      <c r="Q311" t="s">
        <v>19</v>
      </c>
      <c r="S311">
        <v>12</v>
      </c>
      <c r="T311">
        <v>32.051521024750137</v>
      </c>
      <c r="U311">
        <v>5.66</v>
      </c>
      <c r="W311">
        <f t="shared" si="42"/>
        <v>13</v>
      </c>
      <c r="X311">
        <f t="shared" si="43"/>
        <v>44.5</v>
      </c>
      <c r="Y311">
        <f t="shared" si="44"/>
        <v>26</v>
      </c>
      <c r="Z311">
        <f t="shared" si="45"/>
        <v>73</v>
      </c>
      <c r="AA311">
        <f t="shared" si="46"/>
        <v>56</v>
      </c>
      <c r="AB311">
        <f t="shared" si="47"/>
        <v>2</v>
      </c>
      <c r="AC311" t="str">
        <f t="shared" si="48"/>
        <v>N</v>
      </c>
      <c r="AD311" t="str">
        <f t="shared" si="49"/>
        <v>E</v>
      </c>
      <c r="AE311">
        <f t="shared" si="50"/>
        <v>3</v>
      </c>
    </row>
    <row r="312" spans="1:31" x14ac:dyDescent="0.25">
      <c r="A312">
        <v>6.3</v>
      </c>
      <c r="B312">
        <v>16.100000000000001</v>
      </c>
      <c r="C312">
        <v>0</v>
      </c>
      <c r="D312">
        <v>1.8</v>
      </c>
      <c r="E312">
        <v>2.9</v>
      </c>
      <c r="F312">
        <v>35</v>
      </c>
      <c r="G312" t="s">
        <v>30</v>
      </c>
      <c r="H312" t="s">
        <v>30</v>
      </c>
      <c r="I312">
        <v>19</v>
      </c>
      <c r="J312">
        <v>24</v>
      </c>
      <c r="K312">
        <v>63</v>
      </c>
      <c r="L312">
        <v>33</v>
      </c>
      <c r="M312">
        <v>1019.7</v>
      </c>
      <c r="N312">
        <v>1016.2</v>
      </c>
      <c r="O312">
        <v>7</v>
      </c>
      <c r="P312">
        <v>15.7</v>
      </c>
      <c r="Q312" t="s">
        <v>19</v>
      </c>
      <c r="S312">
        <v>16</v>
      </c>
      <c r="T312">
        <v>31.932741817764413</v>
      </c>
      <c r="U312">
        <v>5.65</v>
      </c>
      <c r="W312">
        <f t="shared" si="42"/>
        <v>24</v>
      </c>
      <c r="X312">
        <f t="shared" si="43"/>
        <v>34.75</v>
      </c>
      <c r="Y312">
        <f t="shared" si="44"/>
        <v>45.9</v>
      </c>
      <c r="Z312">
        <f t="shared" si="45"/>
        <v>33</v>
      </c>
      <c r="AA312">
        <f t="shared" si="46"/>
        <v>43</v>
      </c>
      <c r="AB312">
        <f t="shared" si="47"/>
        <v>13</v>
      </c>
      <c r="AC312" t="str">
        <f t="shared" si="48"/>
        <v>N</v>
      </c>
      <c r="AD312" t="str">
        <f t="shared" si="49"/>
        <v>S</v>
      </c>
      <c r="AE312">
        <f t="shared" si="50"/>
        <v>1</v>
      </c>
    </row>
    <row r="313" spans="1:31" x14ac:dyDescent="0.25">
      <c r="A313">
        <v>-0.9</v>
      </c>
      <c r="B313">
        <v>16.7</v>
      </c>
      <c r="C313">
        <v>0</v>
      </c>
      <c r="D313">
        <v>2.8</v>
      </c>
      <c r="E313">
        <v>8.6</v>
      </c>
      <c r="F313">
        <v>35</v>
      </c>
      <c r="G313" t="s">
        <v>26</v>
      </c>
      <c r="H313" t="s">
        <v>17</v>
      </c>
      <c r="I313">
        <v>7</v>
      </c>
      <c r="J313">
        <v>22</v>
      </c>
      <c r="K313">
        <v>84</v>
      </c>
      <c r="L313">
        <v>33</v>
      </c>
      <c r="M313">
        <v>1018.1</v>
      </c>
      <c r="N313">
        <v>1013.9</v>
      </c>
      <c r="O313">
        <v>7</v>
      </c>
      <c r="P313">
        <v>15.5</v>
      </c>
      <c r="Q313" t="s">
        <v>19</v>
      </c>
      <c r="S313">
        <v>17</v>
      </c>
      <c r="T313">
        <v>31.907679326456822</v>
      </c>
      <c r="U313">
        <v>5.65</v>
      </c>
      <c r="W313">
        <f t="shared" si="42"/>
        <v>22</v>
      </c>
      <c r="X313">
        <f t="shared" si="43"/>
        <v>36.5</v>
      </c>
      <c r="Y313">
        <f t="shared" si="44"/>
        <v>37.6</v>
      </c>
      <c r="Z313">
        <f t="shared" si="45"/>
        <v>33</v>
      </c>
      <c r="AA313">
        <f t="shared" si="46"/>
        <v>43</v>
      </c>
      <c r="AB313">
        <f t="shared" si="47"/>
        <v>13</v>
      </c>
      <c r="AC313" t="str">
        <f t="shared" si="48"/>
        <v>N</v>
      </c>
      <c r="AD313" t="str">
        <f t="shared" si="49"/>
        <v>W</v>
      </c>
      <c r="AE313">
        <f t="shared" si="50"/>
        <v>3</v>
      </c>
    </row>
    <row r="314" spans="1:31" x14ac:dyDescent="0.25">
      <c r="A314">
        <v>0.2</v>
      </c>
      <c r="B314">
        <v>15.5</v>
      </c>
      <c r="C314">
        <v>1</v>
      </c>
      <c r="D314">
        <v>2.4</v>
      </c>
      <c r="E314">
        <v>9.4</v>
      </c>
      <c r="F314">
        <v>31</v>
      </c>
      <c r="G314" t="s">
        <v>35</v>
      </c>
      <c r="H314" t="s">
        <v>26</v>
      </c>
      <c r="I314">
        <v>0</v>
      </c>
      <c r="J314">
        <v>11</v>
      </c>
      <c r="K314">
        <v>79</v>
      </c>
      <c r="L314">
        <v>37</v>
      </c>
      <c r="M314">
        <v>1020.6</v>
      </c>
      <c r="N314">
        <v>1018.2</v>
      </c>
      <c r="O314">
        <v>1</v>
      </c>
      <c r="P314">
        <v>15.3</v>
      </c>
      <c r="Q314" t="s">
        <v>19</v>
      </c>
      <c r="S314">
        <v>16</v>
      </c>
      <c r="T314">
        <v>31.946830828737927</v>
      </c>
      <c r="U314">
        <v>5.65</v>
      </c>
      <c r="W314">
        <f t="shared" si="42"/>
        <v>11</v>
      </c>
      <c r="X314">
        <f t="shared" si="43"/>
        <v>31.75</v>
      </c>
      <c r="Y314">
        <f t="shared" si="44"/>
        <v>20.399999999999999</v>
      </c>
      <c r="Z314">
        <f t="shared" si="45"/>
        <v>37</v>
      </c>
      <c r="AA314">
        <f t="shared" si="46"/>
        <v>44</v>
      </c>
      <c r="AB314">
        <f t="shared" si="47"/>
        <v>5</v>
      </c>
      <c r="AC314" t="str">
        <f t="shared" si="48"/>
        <v>N</v>
      </c>
      <c r="AD314" t="str">
        <f t="shared" si="49"/>
        <v>W</v>
      </c>
      <c r="AE314">
        <f t="shared" si="50"/>
        <v>2</v>
      </c>
    </row>
    <row r="315" spans="1:31" x14ac:dyDescent="0.25">
      <c r="A315">
        <v>-3.7</v>
      </c>
      <c r="B315">
        <v>14.7</v>
      </c>
      <c r="C315">
        <v>0</v>
      </c>
      <c r="D315">
        <v>3.4</v>
      </c>
      <c r="E315">
        <v>10.9</v>
      </c>
      <c r="F315">
        <v>43</v>
      </c>
      <c r="G315" t="s">
        <v>29</v>
      </c>
      <c r="H315" t="s">
        <v>24</v>
      </c>
      <c r="I315">
        <v>9</v>
      </c>
      <c r="J315">
        <v>22</v>
      </c>
      <c r="K315">
        <v>53</v>
      </c>
      <c r="L315">
        <v>25</v>
      </c>
      <c r="M315">
        <v>1025.8</v>
      </c>
      <c r="N315">
        <v>1020.9</v>
      </c>
      <c r="O315">
        <v>0</v>
      </c>
      <c r="P315">
        <v>13.4</v>
      </c>
      <c r="Q315" t="s">
        <v>19</v>
      </c>
      <c r="S315">
        <v>15</v>
      </c>
      <c r="T315">
        <v>32.028112651231886</v>
      </c>
      <c r="U315">
        <v>5.66</v>
      </c>
      <c r="W315">
        <f t="shared" si="42"/>
        <v>22</v>
      </c>
      <c r="X315">
        <f t="shared" si="43"/>
        <v>27.25</v>
      </c>
      <c r="Y315">
        <f t="shared" si="44"/>
        <v>41.9</v>
      </c>
      <c r="Z315">
        <f t="shared" si="45"/>
        <v>25</v>
      </c>
      <c r="AA315">
        <f t="shared" si="46"/>
        <v>31</v>
      </c>
      <c r="AB315">
        <f t="shared" si="47"/>
        <v>18</v>
      </c>
      <c r="AC315" t="str">
        <f t="shared" si="48"/>
        <v>N</v>
      </c>
      <c r="AD315" t="str">
        <f t="shared" si="49"/>
        <v>N</v>
      </c>
      <c r="AE315">
        <f t="shared" si="50"/>
        <v>2</v>
      </c>
    </row>
    <row r="316" spans="1:31" x14ac:dyDescent="0.25">
      <c r="A316">
        <v>-2.7</v>
      </c>
      <c r="B316">
        <v>15.2</v>
      </c>
      <c r="C316">
        <v>0</v>
      </c>
      <c r="D316">
        <v>4</v>
      </c>
      <c r="E316">
        <v>9.6999999999999993</v>
      </c>
      <c r="F316">
        <v>30</v>
      </c>
      <c r="G316" t="s">
        <v>18</v>
      </c>
      <c r="H316" t="s">
        <v>26</v>
      </c>
      <c r="I316">
        <v>6</v>
      </c>
      <c r="J316">
        <v>20</v>
      </c>
      <c r="K316">
        <v>62</v>
      </c>
      <c r="L316">
        <v>35</v>
      </c>
      <c r="M316">
        <v>1022.8</v>
      </c>
      <c r="N316">
        <v>1017.9</v>
      </c>
      <c r="O316">
        <v>1</v>
      </c>
      <c r="P316">
        <v>14.9</v>
      </c>
      <c r="Q316" t="s">
        <v>19</v>
      </c>
      <c r="S316">
        <v>15</v>
      </c>
      <c r="T316">
        <v>31.981244503614928</v>
      </c>
      <c r="U316">
        <v>5.66</v>
      </c>
      <c r="W316">
        <f t="shared" si="42"/>
        <v>20</v>
      </c>
      <c r="X316">
        <f t="shared" si="43"/>
        <v>30.75</v>
      </c>
      <c r="Y316">
        <f t="shared" si="44"/>
        <v>35.700000000000003</v>
      </c>
      <c r="Z316">
        <f t="shared" si="45"/>
        <v>35</v>
      </c>
      <c r="AA316">
        <f t="shared" si="46"/>
        <v>49</v>
      </c>
      <c r="AB316">
        <f t="shared" si="47"/>
        <v>3</v>
      </c>
      <c r="AC316" t="str">
        <f t="shared" si="48"/>
        <v>N</v>
      </c>
      <c r="AD316" t="str">
        <f t="shared" si="49"/>
        <v>W</v>
      </c>
      <c r="AE316">
        <f t="shared" si="50"/>
        <v>2</v>
      </c>
    </row>
    <row r="317" spans="1:31" x14ac:dyDescent="0.25">
      <c r="A317">
        <v>-2.5</v>
      </c>
      <c r="B317">
        <v>16.600000000000001</v>
      </c>
      <c r="C317">
        <v>0</v>
      </c>
      <c r="D317">
        <v>3</v>
      </c>
      <c r="E317">
        <v>9.9</v>
      </c>
      <c r="F317">
        <v>31</v>
      </c>
      <c r="G317" t="s">
        <v>32</v>
      </c>
      <c r="H317" t="s">
        <v>24</v>
      </c>
      <c r="I317">
        <v>4</v>
      </c>
      <c r="J317">
        <v>20</v>
      </c>
      <c r="K317">
        <v>68</v>
      </c>
      <c r="L317">
        <v>20</v>
      </c>
      <c r="M317">
        <v>1018.8</v>
      </c>
      <c r="N317">
        <v>1013.9</v>
      </c>
      <c r="O317">
        <v>1</v>
      </c>
      <c r="P317">
        <v>16.3</v>
      </c>
      <c r="Q317" t="s">
        <v>19</v>
      </c>
      <c r="S317">
        <v>17</v>
      </c>
      <c r="T317">
        <v>31.918646587848926</v>
      </c>
      <c r="U317">
        <v>5.65</v>
      </c>
      <c r="W317">
        <f t="shared" si="42"/>
        <v>20</v>
      </c>
      <c r="X317">
        <f t="shared" si="43"/>
        <v>28</v>
      </c>
      <c r="Y317">
        <f t="shared" si="44"/>
        <v>33.9</v>
      </c>
      <c r="Z317">
        <f t="shared" si="45"/>
        <v>20</v>
      </c>
      <c r="AA317">
        <f t="shared" si="46"/>
        <v>43</v>
      </c>
      <c r="AB317">
        <f t="shared" si="47"/>
        <v>4</v>
      </c>
      <c r="AC317" t="str">
        <f t="shared" si="48"/>
        <v>N</v>
      </c>
      <c r="AD317" t="str">
        <f t="shared" si="49"/>
        <v>N</v>
      </c>
      <c r="AE317">
        <f t="shared" si="50"/>
        <v>2</v>
      </c>
    </row>
    <row r="318" spans="1:31" x14ac:dyDescent="0.25">
      <c r="A318">
        <v>-0.5</v>
      </c>
      <c r="B318">
        <v>21.6</v>
      </c>
      <c r="C318">
        <v>0</v>
      </c>
      <c r="D318">
        <v>5</v>
      </c>
      <c r="E318">
        <v>9.9</v>
      </c>
      <c r="F318">
        <v>48</v>
      </c>
      <c r="G318" t="s">
        <v>25</v>
      </c>
      <c r="H318" t="s">
        <v>17</v>
      </c>
      <c r="I318">
        <v>9</v>
      </c>
      <c r="J318">
        <v>26</v>
      </c>
      <c r="K318">
        <v>44</v>
      </c>
      <c r="L318">
        <v>27</v>
      </c>
      <c r="M318">
        <v>1014.6</v>
      </c>
      <c r="N318">
        <v>1010.9</v>
      </c>
      <c r="O318">
        <v>7</v>
      </c>
      <c r="P318">
        <v>21.5</v>
      </c>
      <c r="Q318" t="s">
        <v>19</v>
      </c>
      <c r="S318">
        <v>22</v>
      </c>
      <c r="T318">
        <v>31.852786377332833</v>
      </c>
      <c r="U318">
        <v>5.64</v>
      </c>
      <c r="W318">
        <f t="shared" si="42"/>
        <v>26</v>
      </c>
      <c r="X318">
        <f t="shared" si="43"/>
        <v>26.5</v>
      </c>
      <c r="Y318">
        <f t="shared" si="44"/>
        <v>44.9</v>
      </c>
      <c r="Z318">
        <f t="shared" si="45"/>
        <v>27</v>
      </c>
      <c r="AA318">
        <f t="shared" si="46"/>
        <v>19</v>
      </c>
      <c r="AB318">
        <f t="shared" si="47"/>
        <v>30</v>
      </c>
      <c r="AC318" t="str">
        <f t="shared" si="48"/>
        <v>N</v>
      </c>
      <c r="AD318" t="str">
        <f t="shared" si="49"/>
        <v>W</v>
      </c>
      <c r="AE318">
        <f t="shared" si="50"/>
        <v>3</v>
      </c>
    </row>
    <row r="319" spans="1:31" x14ac:dyDescent="0.25">
      <c r="A319">
        <v>9</v>
      </c>
      <c r="B319">
        <v>25.5</v>
      </c>
      <c r="C319">
        <v>0</v>
      </c>
      <c r="D319">
        <v>5.6</v>
      </c>
      <c r="E319">
        <v>10.199999999999999</v>
      </c>
      <c r="F319">
        <v>50</v>
      </c>
      <c r="G319" t="s">
        <v>24</v>
      </c>
      <c r="H319" t="s">
        <v>17</v>
      </c>
      <c r="I319">
        <v>20</v>
      </c>
      <c r="J319">
        <v>26</v>
      </c>
      <c r="K319">
        <v>47</v>
      </c>
      <c r="L319">
        <v>31</v>
      </c>
      <c r="M319">
        <v>1015.3</v>
      </c>
      <c r="N319">
        <v>1011.4</v>
      </c>
      <c r="O319">
        <v>3</v>
      </c>
      <c r="P319">
        <v>25.1</v>
      </c>
      <c r="Q319" t="s">
        <v>19</v>
      </c>
      <c r="S319">
        <v>26</v>
      </c>
      <c r="T319">
        <v>31.863772532454469</v>
      </c>
      <c r="U319">
        <v>5.64</v>
      </c>
      <c r="W319">
        <f t="shared" si="42"/>
        <v>26</v>
      </c>
      <c r="X319">
        <f t="shared" si="43"/>
        <v>31</v>
      </c>
      <c r="Y319">
        <f t="shared" si="44"/>
        <v>56.2</v>
      </c>
      <c r="Z319">
        <f t="shared" si="45"/>
        <v>31</v>
      </c>
      <c r="AA319">
        <f t="shared" si="46"/>
        <v>16</v>
      </c>
      <c r="AB319">
        <f t="shared" si="47"/>
        <v>32</v>
      </c>
      <c r="AC319" t="str">
        <f t="shared" si="48"/>
        <v>N</v>
      </c>
      <c r="AD319" t="str">
        <f t="shared" si="49"/>
        <v>W</v>
      </c>
      <c r="AE319">
        <f t="shared" si="50"/>
        <v>1</v>
      </c>
    </row>
    <row r="320" spans="1:31" x14ac:dyDescent="0.25">
      <c r="A320">
        <v>13.1</v>
      </c>
      <c r="B320">
        <v>19.399999999999999</v>
      </c>
      <c r="C320">
        <v>9.8000000000000007</v>
      </c>
      <c r="D320">
        <v>8.8000000000000007</v>
      </c>
      <c r="E320">
        <v>6</v>
      </c>
      <c r="F320">
        <v>67</v>
      </c>
      <c r="G320" t="s">
        <v>24</v>
      </c>
      <c r="H320" t="s">
        <v>17</v>
      </c>
      <c r="I320">
        <v>39</v>
      </c>
      <c r="J320">
        <v>30</v>
      </c>
      <c r="K320">
        <v>71</v>
      </c>
      <c r="L320">
        <v>43</v>
      </c>
      <c r="M320">
        <v>1007.3</v>
      </c>
      <c r="N320">
        <v>1006</v>
      </c>
      <c r="O320">
        <v>7</v>
      </c>
      <c r="P320">
        <v>18.2</v>
      </c>
      <c r="Q320" t="s">
        <v>20</v>
      </c>
      <c r="S320">
        <v>19</v>
      </c>
      <c r="T320">
        <v>31.73798985443155</v>
      </c>
      <c r="U320">
        <v>5.63</v>
      </c>
      <c r="W320">
        <f t="shared" si="42"/>
        <v>39</v>
      </c>
      <c r="X320">
        <f t="shared" si="43"/>
        <v>45.75</v>
      </c>
      <c r="Y320">
        <f t="shared" si="44"/>
        <v>75</v>
      </c>
      <c r="Z320">
        <f t="shared" si="45"/>
        <v>43</v>
      </c>
      <c r="AA320">
        <f t="shared" si="46"/>
        <v>8</v>
      </c>
      <c r="AB320">
        <f t="shared" si="47"/>
        <v>41</v>
      </c>
      <c r="AC320" t="str">
        <f t="shared" si="48"/>
        <v>Y</v>
      </c>
      <c r="AD320" t="str">
        <f t="shared" si="49"/>
        <v>W</v>
      </c>
      <c r="AE320">
        <f t="shared" si="50"/>
        <v>1</v>
      </c>
    </row>
    <row r="321" spans="1:31" x14ac:dyDescent="0.25">
      <c r="A321">
        <v>8.6999999999999993</v>
      </c>
      <c r="B321">
        <v>19.7</v>
      </c>
      <c r="C321">
        <v>1.6</v>
      </c>
      <c r="D321">
        <v>5.2</v>
      </c>
      <c r="E321">
        <v>8</v>
      </c>
      <c r="F321">
        <v>98</v>
      </c>
      <c r="G321" t="s">
        <v>17</v>
      </c>
      <c r="H321" t="s">
        <v>33</v>
      </c>
      <c r="I321">
        <v>31</v>
      </c>
      <c r="J321">
        <v>52</v>
      </c>
      <c r="K321">
        <v>63</v>
      </c>
      <c r="L321">
        <v>33</v>
      </c>
      <c r="M321">
        <v>1009.1</v>
      </c>
      <c r="N321">
        <v>1001.5</v>
      </c>
      <c r="O321">
        <v>3</v>
      </c>
      <c r="P321">
        <v>18.5</v>
      </c>
      <c r="Q321" t="s">
        <v>20</v>
      </c>
      <c r="S321">
        <v>20</v>
      </c>
      <c r="T321">
        <v>31.766334380913388</v>
      </c>
      <c r="U321">
        <v>5.64</v>
      </c>
      <c r="W321">
        <f t="shared" si="42"/>
        <v>52</v>
      </c>
      <c r="X321">
        <f t="shared" si="43"/>
        <v>44.75</v>
      </c>
      <c r="Y321">
        <f t="shared" si="44"/>
        <v>91</v>
      </c>
      <c r="Z321">
        <f t="shared" si="45"/>
        <v>33</v>
      </c>
      <c r="AA321">
        <f t="shared" si="46"/>
        <v>1</v>
      </c>
      <c r="AB321">
        <f t="shared" si="47"/>
        <v>47</v>
      </c>
      <c r="AC321" t="str">
        <f t="shared" si="48"/>
        <v>Y</v>
      </c>
      <c r="AD321" t="str">
        <f t="shared" si="49"/>
        <v>W</v>
      </c>
      <c r="AE321">
        <f t="shared" si="50"/>
        <v>2</v>
      </c>
    </row>
    <row r="322" spans="1:31" x14ac:dyDescent="0.25">
      <c r="A322">
        <v>3.9</v>
      </c>
      <c r="B322">
        <v>13.2</v>
      </c>
      <c r="C322">
        <v>3.4</v>
      </c>
      <c r="D322">
        <v>6.6</v>
      </c>
      <c r="E322">
        <v>11</v>
      </c>
      <c r="F322">
        <v>65</v>
      </c>
      <c r="G322" t="s">
        <v>26</v>
      </c>
      <c r="H322" t="s">
        <v>26</v>
      </c>
      <c r="I322">
        <v>26</v>
      </c>
      <c r="J322">
        <v>31</v>
      </c>
      <c r="K322">
        <v>53</v>
      </c>
      <c r="L322">
        <v>33</v>
      </c>
      <c r="M322">
        <v>1017</v>
      </c>
      <c r="N322">
        <v>1017.6</v>
      </c>
      <c r="O322">
        <v>3</v>
      </c>
      <c r="P322">
        <v>12.2</v>
      </c>
      <c r="Q322" t="s">
        <v>20</v>
      </c>
      <c r="S322">
        <v>13</v>
      </c>
      <c r="T322">
        <v>31.89043743820395</v>
      </c>
      <c r="U322">
        <v>5.65</v>
      </c>
      <c r="W322">
        <f t="shared" ref="W322:W367" si="51">MAX(I322:J322)</f>
        <v>31</v>
      </c>
      <c r="X322">
        <f t="shared" ref="X322:X367" si="52">AVERAGE(I322:J322,K322:L322)</f>
        <v>35.75</v>
      </c>
      <c r="Y322">
        <f t="shared" ref="Y322:Y367" si="53">SUM(I322,E322,J322)</f>
        <v>68</v>
      </c>
      <c r="Z322">
        <f t="shared" ref="Z322:Z367" si="54">MEDIAN(D322,L322,K322)</f>
        <v>33</v>
      </c>
      <c r="AA322">
        <f t="shared" ref="AA322:AA367" si="55">RANK(F322,F322:F687,0)</f>
        <v>7</v>
      </c>
      <c r="AB322">
        <f t="shared" ref="AB322:AB367" si="56">RANK(F322,F322:F687,1)</f>
        <v>38</v>
      </c>
      <c r="AC322" t="str">
        <f t="shared" ref="AC322:AC367" si="57">LEFT(Q322,1)</f>
        <v>Y</v>
      </c>
      <c r="AD322" t="str">
        <f t="shared" ref="AD322:AD367" si="58">RIGHT(H322,1)</f>
        <v>W</v>
      </c>
      <c r="AE322">
        <f t="shared" ref="AE322:AE367" si="59">LEN(G322)</f>
        <v>3</v>
      </c>
    </row>
    <row r="323" spans="1:31" x14ac:dyDescent="0.25">
      <c r="A323">
        <v>0.7</v>
      </c>
      <c r="B323">
        <v>14.1</v>
      </c>
      <c r="C323">
        <v>0</v>
      </c>
      <c r="D323">
        <v>5.6</v>
      </c>
      <c r="E323">
        <v>9</v>
      </c>
      <c r="F323">
        <v>20</v>
      </c>
      <c r="G323" t="s">
        <v>34</v>
      </c>
      <c r="H323" t="s">
        <v>33</v>
      </c>
      <c r="I323">
        <v>6</v>
      </c>
      <c r="J323">
        <v>7</v>
      </c>
      <c r="K323">
        <v>69</v>
      </c>
      <c r="L323">
        <v>43</v>
      </c>
      <c r="M323">
        <v>1026.7</v>
      </c>
      <c r="N323">
        <v>1022.1</v>
      </c>
      <c r="O323">
        <v>7</v>
      </c>
      <c r="P323">
        <v>13.7</v>
      </c>
      <c r="Q323" t="s">
        <v>19</v>
      </c>
      <c r="S323">
        <v>14</v>
      </c>
      <c r="T323">
        <v>32.042159727459072</v>
      </c>
      <c r="U323">
        <v>5.66</v>
      </c>
      <c r="W323">
        <f t="shared" si="51"/>
        <v>7</v>
      </c>
      <c r="X323">
        <f t="shared" si="52"/>
        <v>31.25</v>
      </c>
      <c r="Y323">
        <f t="shared" si="53"/>
        <v>22</v>
      </c>
      <c r="Z323">
        <f t="shared" si="54"/>
        <v>43</v>
      </c>
      <c r="AA323">
        <f t="shared" si="55"/>
        <v>45</v>
      </c>
      <c r="AB323">
        <f t="shared" si="56"/>
        <v>1</v>
      </c>
      <c r="AC323" t="str">
        <f t="shared" si="57"/>
        <v>N</v>
      </c>
      <c r="AD323" t="str">
        <f t="shared" si="58"/>
        <v>W</v>
      </c>
      <c r="AE323">
        <f t="shared" si="59"/>
        <v>3</v>
      </c>
    </row>
    <row r="324" spans="1:31" x14ac:dyDescent="0.25">
      <c r="A324">
        <v>1.1000000000000001</v>
      </c>
      <c r="B324">
        <v>18</v>
      </c>
      <c r="C324">
        <v>0</v>
      </c>
      <c r="D324">
        <v>1.6</v>
      </c>
      <c r="E324">
        <v>8.6</v>
      </c>
      <c r="F324">
        <v>39</v>
      </c>
      <c r="G324" t="s">
        <v>33</v>
      </c>
      <c r="H324" t="s">
        <v>33</v>
      </c>
      <c r="I324">
        <v>2</v>
      </c>
      <c r="J324">
        <v>28</v>
      </c>
      <c r="K324">
        <v>82</v>
      </c>
      <c r="L324">
        <v>36</v>
      </c>
      <c r="M324">
        <v>1021</v>
      </c>
      <c r="N324">
        <v>1015.6</v>
      </c>
      <c r="O324">
        <v>4</v>
      </c>
      <c r="P324">
        <v>17.8</v>
      </c>
      <c r="Q324" t="s">
        <v>19</v>
      </c>
      <c r="S324">
        <v>18</v>
      </c>
      <c r="T324">
        <v>31.953090617340916</v>
      </c>
      <c r="U324">
        <v>5.65</v>
      </c>
      <c r="W324">
        <f t="shared" si="51"/>
        <v>28</v>
      </c>
      <c r="X324">
        <f t="shared" si="52"/>
        <v>37</v>
      </c>
      <c r="Y324">
        <f t="shared" si="53"/>
        <v>38.6</v>
      </c>
      <c r="Z324">
        <f t="shared" si="54"/>
        <v>36</v>
      </c>
      <c r="AA324">
        <f t="shared" si="55"/>
        <v>34</v>
      </c>
      <c r="AB324">
        <f t="shared" si="56"/>
        <v>9</v>
      </c>
      <c r="AC324" t="str">
        <f t="shared" si="57"/>
        <v>N</v>
      </c>
      <c r="AD324" t="str">
        <f t="shared" si="58"/>
        <v>W</v>
      </c>
      <c r="AE324">
        <f t="shared" si="59"/>
        <v>3</v>
      </c>
    </row>
    <row r="325" spans="1:31" x14ac:dyDescent="0.25">
      <c r="A325">
        <v>5.0999999999999996</v>
      </c>
      <c r="B325">
        <v>23.3</v>
      </c>
      <c r="C325">
        <v>0</v>
      </c>
      <c r="D325">
        <v>3.6</v>
      </c>
      <c r="E325">
        <v>10.3</v>
      </c>
      <c r="F325">
        <v>44</v>
      </c>
      <c r="G325" t="s">
        <v>24</v>
      </c>
      <c r="H325" t="s">
        <v>17</v>
      </c>
      <c r="I325">
        <v>9</v>
      </c>
      <c r="J325">
        <v>28</v>
      </c>
      <c r="K325">
        <v>54</v>
      </c>
      <c r="L325">
        <v>30</v>
      </c>
      <c r="M325">
        <v>1016.4</v>
      </c>
      <c r="N325">
        <v>1011.7</v>
      </c>
      <c r="O325">
        <v>1</v>
      </c>
      <c r="P325">
        <v>22.4</v>
      </c>
      <c r="Q325" t="s">
        <v>19</v>
      </c>
      <c r="S325">
        <v>23</v>
      </c>
      <c r="T325">
        <v>31.881028841616764</v>
      </c>
      <c r="U325">
        <v>5.65</v>
      </c>
      <c r="W325">
        <f t="shared" si="51"/>
        <v>28</v>
      </c>
      <c r="X325">
        <f t="shared" si="52"/>
        <v>30.25</v>
      </c>
      <c r="Y325">
        <f t="shared" si="53"/>
        <v>47.3</v>
      </c>
      <c r="Z325">
        <f t="shared" si="54"/>
        <v>30</v>
      </c>
      <c r="AA325">
        <f t="shared" si="55"/>
        <v>22</v>
      </c>
      <c r="AB325">
        <f t="shared" si="56"/>
        <v>19</v>
      </c>
      <c r="AC325" t="str">
        <f t="shared" si="57"/>
        <v>N</v>
      </c>
      <c r="AD325" t="str">
        <f t="shared" si="58"/>
        <v>W</v>
      </c>
      <c r="AE325">
        <f t="shared" si="59"/>
        <v>1</v>
      </c>
    </row>
    <row r="326" spans="1:31" x14ac:dyDescent="0.25">
      <c r="A326">
        <v>7.5</v>
      </c>
      <c r="B326">
        <v>23.3</v>
      </c>
      <c r="C326">
        <v>0</v>
      </c>
      <c r="D326">
        <v>6.8</v>
      </c>
      <c r="E326">
        <v>10.9</v>
      </c>
      <c r="F326">
        <v>65</v>
      </c>
      <c r="G326" t="s">
        <v>24</v>
      </c>
      <c r="H326" t="s">
        <v>17</v>
      </c>
      <c r="I326">
        <v>15</v>
      </c>
      <c r="J326">
        <v>41</v>
      </c>
      <c r="K326">
        <v>46</v>
      </c>
      <c r="L326">
        <v>15</v>
      </c>
      <c r="M326">
        <v>1012.5</v>
      </c>
      <c r="N326">
        <v>1010.9</v>
      </c>
      <c r="O326">
        <v>1</v>
      </c>
      <c r="P326">
        <v>21.3</v>
      </c>
      <c r="Q326" t="s">
        <v>19</v>
      </c>
      <c r="S326">
        <v>23</v>
      </c>
      <c r="T326">
        <v>31.81980515339464</v>
      </c>
      <c r="U326">
        <v>5.64</v>
      </c>
      <c r="W326">
        <f t="shared" si="51"/>
        <v>41</v>
      </c>
      <c r="X326">
        <f t="shared" si="52"/>
        <v>29.25</v>
      </c>
      <c r="Y326">
        <f t="shared" si="53"/>
        <v>66.900000000000006</v>
      </c>
      <c r="Z326">
        <f t="shared" si="54"/>
        <v>15</v>
      </c>
      <c r="AA326">
        <f t="shared" si="55"/>
        <v>7</v>
      </c>
      <c r="AB326">
        <f t="shared" si="56"/>
        <v>35</v>
      </c>
      <c r="AC326" t="str">
        <f t="shared" si="57"/>
        <v>N</v>
      </c>
      <c r="AD326" t="str">
        <f t="shared" si="58"/>
        <v>W</v>
      </c>
      <c r="AE326">
        <f t="shared" si="59"/>
        <v>1</v>
      </c>
    </row>
    <row r="327" spans="1:31" x14ac:dyDescent="0.25">
      <c r="A327">
        <v>4.7</v>
      </c>
      <c r="B327">
        <v>19.5</v>
      </c>
      <c r="C327">
        <v>0</v>
      </c>
      <c r="D327">
        <v>10</v>
      </c>
      <c r="E327">
        <v>11</v>
      </c>
      <c r="F327">
        <v>46</v>
      </c>
      <c r="G327" t="s">
        <v>25</v>
      </c>
      <c r="H327" t="s">
        <v>33</v>
      </c>
      <c r="I327">
        <v>13</v>
      </c>
      <c r="J327">
        <v>33</v>
      </c>
      <c r="K327">
        <v>42</v>
      </c>
      <c r="L327">
        <v>25</v>
      </c>
      <c r="M327">
        <v>1018.7</v>
      </c>
      <c r="N327">
        <v>1015.1</v>
      </c>
      <c r="O327">
        <v>1</v>
      </c>
      <c r="P327">
        <v>18.3</v>
      </c>
      <c r="Q327" t="s">
        <v>19</v>
      </c>
      <c r="S327">
        <v>20</v>
      </c>
      <c r="T327">
        <v>31.917080066948483</v>
      </c>
      <c r="U327">
        <v>5.65</v>
      </c>
      <c r="W327">
        <f t="shared" si="51"/>
        <v>33</v>
      </c>
      <c r="X327">
        <f t="shared" si="52"/>
        <v>28.25</v>
      </c>
      <c r="Y327">
        <f t="shared" si="53"/>
        <v>57</v>
      </c>
      <c r="Z327">
        <f t="shared" si="54"/>
        <v>25</v>
      </c>
      <c r="AA327">
        <f t="shared" si="55"/>
        <v>16</v>
      </c>
      <c r="AB327">
        <f t="shared" si="56"/>
        <v>22</v>
      </c>
      <c r="AC327" t="str">
        <f t="shared" si="57"/>
        <v>N</v>
      </c>
      <c r="AD327" t="str">
        <f t="shared" si="58"/>
        <v>W</v>
      </c>
      <c r="AE327">
        <f t="shared" si="59"/>
        <v>3</v>
      </c>
    </row>
    <row r="328" spans="1:31" x14ac:dyDescent="0.25">
      <c r="A328">
        <v>3.2</v>
      </c>
      <c r="B328">
        <v>21.9</v>
      </c>
      <c r="C328">
        <v>0</v>
      </c>
      <c r="D328">
        <v>6.8</v>
      </c>
      <c r="E328">
        <v>5.2</v>
      </c>
      <c r="F328">
        <v>80</v>
      </c>
      <c r="G328" t="s">
        <v>27</v>
      </c>
      <c r="H328" t="s">
        <v>17</v>
      </c>
      <c r="I328">
        <v>2</v>
      </c>
      <c r="J328">
        <v>20</v>
      </c>
      <c r="K328">
        <v>51</v>
      </c>
      <c r="L328">
        <v>50</v>
      </c>
      <c r="M328">
        <v>1012.1</v>
      </c>
      <c r="N328">
        <v>1006.5</v>
      </c>
      <c r="O328">
        <v>1</v>
      </c>
      <c r="P328">
        <v>21</v>
      </c>
      <c r="Q328" t="s">
        <v>19</v>
      </c>
      <c r="S328">
        <v>22</v>
      </c>
      <c r="T328">
        <v>31.813519138881823</v>
      </c>
      <c r="U328">
        <v>5.64</v>
      </c>
      <c r="W328">
        <f t="shared" si="51"/>
        <v>20</v>
      </c>
      <c r="X328">
        <f t="shared" si="52"/>
        <v>30.75</v>
      </c>
      <c r="Y328">
        <f t="shared" si="53"/>
        <v>27.2</v>
      </c>
      <c r="Z328">
        <f t="shared" si="54"/>
        <v>50</v>
      </c>
      <c r="AA328">
        <f t="shared" si="55"/>
        <v>1</v>
      </c>
      <c r="AB328">
        <f t="shared" si="56"/>
        <v>40</v>
      </c>
      <c r="AC328" t="str">
        <f t="shared" si="57"/>
        <v>N</v>
      </c>
      <c r="AD328" t="str">
        <f t="shared" si="58"/>
        <v>W</v>
      </c>
      <c r="AE328">
        <f t="shared" si="59"/>
        <v>3</v>
      </c>
    </row>
    <row r="329" spans="1:31" x14ac:dyDescent="0.25">
      <c r="A329">
        <v>7.8</v>
      </c>
      <c r="B329">
        <v>16.2</v>
      </c>
      <c r="C329">
        <v>17.399999999999999</v>
      </c>
      <c r="D329">
        <v>6.4</v>
      </c>
      <c r="E329">
        <v>7.9</v>
      </c>
      <c r="F329">
        <v>50</v>
      </c>
      <c r="G329" t="s">
        <v>17</v>
      </c>
      <c r="H329" t="s">
        <v>24</v>
      </c>
      <c r="I329">
        <v>15</v>
      </c>
      <c r="J329">
        <v>22</v>
      </c>
      <c r="K329">
        <v>73</v>
      </c>
      <c r="L329">
        <v>44</v>
      </c>
      <c r="M329">
        <v>1016.7</v>
      </c>
      <c r="N329">
        <v>1017.8</v>
      </c>
      <c r="O329">
        <v>7</v>
      </c>
      <c r="P329">
        <v>14.3</v>
      </c>
      <c r="Q329" t="s">
        <v>20</v>
      </c>
      <c r="S329">
        <v>16</v>
      </c>
      <c r="T329">
        <v>31.885733486937383</v>
      </c>
      <c r="U329">
        <v>5.65</v>
      </c>
      <c r="W329">
        <f t="shared" si="51"/>
        <v>22</v>
      </c>
      <c r="X329">
        <f t="shared" si="52"/>
        <v>38.5</v>
      </c>
      <c r="Y329">
        <f t="shared" si="53"/>
        <v>44.9</v>
      </c>
      <c r="Z329">
        <f t="shared" si="54"/>
        <v>44</v>
      </c>
      <c r="AA329">
        <f t="shared" si="55"/>
        <v>11</v>
      </c>
      <c r="AB329">
        <f t="shared" si="56"/>
        <v>28</v>
      </c>
      <c r="AC329" t="str">
        <f t="shared" si="57"/>
        <v>Y</v>
      </c>
      <c r="AD329" t="str">
        <f t="shared" si="58"/>
        <v>N</v>
      </c>
      <c r="AE329">
        <f t="shared" si="59"/>
        <v>2</v>
      </c>
    </row>
    <row r="330" spans="1:31" x14ac:dyDescent="0.25">
      <c r="A330">
        <v>2.4</v>
      </c>
      <c r="B330">
        <v>17.3</v>
      </c>
      <c r="C330">
        <v>0</v>
      </c>
      <c r="D330">
        <v>2.2000000000000002</v>
      </c>
      <c r="E330">
        <v>11.3</v>
      </c>
      <c r="F330">
        <v>31</v>
      </c>
      <c r="G330" t="s">
        <v>27</v>
      </c>
      <c r="H330" t="s">
        <v>18</v>
      </c>
      <c r="I330">
        <v>4</v>
      </c>
      <c r="J330">
        <v>6</v>
      </c>
      <c r="K330">
        <v>67</v>
      </c>
      <c r="L330">
        <v>33</v>
      </c>
      <c r="M330">
        <v>1030.5</v>
      </c>
      <c r="N330">
        <v>1027.7</v>
      </c>
      <c r="O330">
        <v>1</v>
      </c>
      <c r="P330">
        <v>16.5</v>
      </c>
      <c r="Q330" t="s">
        <v>19</v>
      </c>
      <c r="S330">
        <v>17</v>
      </c>
      <c r="T330">
        <v>32.101401838549044</v>
      </c>
      <c r="U330">
        <v>5.67</v>
      </c>
      <c r="W330">
        <f t="shared" si="51"/>
        <v>6</v>
      </c>
      <c r="X330">
        <f t="shared" si="52"/>
        <v>27.5</v>
      </c>
      <c r="Y330">
        <f t="shared" si="53"/>
        <v>21.3</v>
      </c>
      <c r="Z330">
        <f t="shared" si="54"/>
        <v>33</v>
      </c>
      <c r="AA330">
        <f t="shared" si="55"/>
        <v>32</v>
      </c>
      <c r="AB330">
        <f t="shared" si="56"/>
        <v>3</v>
      </c>
      <c r="AC330" t="str">
        <f t="shared" si="57"/>
        <v>N</v>
      </c>
      <c r="AD330" t="str">
        <f t="shared" si="58"/>
        <v>W</v>
      </c>
      <c r="AE330">
        <f t="shared" si="59"/>
        <v>3</v>
      </c>
    </row>
    <row r="331" spans="1:31" x14ac:dyDescent="0.25">
      <c r="A331">
        <v>3.2</v>
      </c>
      <c r="B331">
        <v>18.7</v>
      </c>
      <c r="C331">
        <v>0</v>
      </c>
      <c r="D331">
        <v>2.6</v>
      </c>
      <c r="E331">
        <v>11.1</v>
      </c>
      <c r="F331">
        <v>31</v>
      </c>
      <c r="G331" t="s">
        <v>22</v>
      </c>
      <c r="H331" t="s">
        <v>33</v>
      </c>
      <c r="I331">
        <v>4</v>
      </c>
      <c r="J331">
        <v>13</v>
      </c>
      <c r="K331">
        <v>70</v>
      </c>
      <c r="L331">
        <v>32</v>
      </c>
      <c r="M331">
        <v>1032.2</v>
      </c>
      <c r="N331">
        <v>1026.9000000000001</v>
      </c>
      <c r="O331">
        <v>1</v>
      </c>
      <c r="P331">
        <v>18.100000000000001</v>
      </c>
      <c r="Q331" t="s">
        <v>19</v>
      </c>
      <c r="S331">
        <v>19</v>
      </c>
      <c r="T331">
        <v>32.127869521647405</v>
      </c>
      <c r="U331">
        <v>5.67</v>
      </c>
      <c r="W331">
        <f t="shared" si="51"/>
        <v>13</v>
      </c>
      <c r="X331">
        <f t="shared" si="52"/>
        <v>29.75</v>
      </c>
      <c r="Y331">
        <f t="shared" si="53"/>
        <v>28.1</v>
      </c>
      <c r="Z331">
        <f t="shared" si="54"/>
        <v>32</v>
      </c>
      <c r="AA331">
        <f t="shared" si="55"/>
        <v>32</v>
      </c>
      <c r="AB331">
        <f t="shared" si="56"/>
        <v>3</v>
      </c>
      <c r="AC331" t="str">
        <f t="shared" si="57"/>
        <v>N</v>
      </c>
      <c r="AD331" t="str">
        <f t="shared" si="58"/>
        <v>W</v>
      </c>
      <c r="AE331">
        <f t="shared" si="59"/>
        <v>1</v>
      </c>
    </row>
    <row r="332" spans="1:31" x14ac:dyDescent="0.25">
      <c r="A332">
        <v>2.5</v>
      </c>
      <c r="B332">
        <v>20.9</v>
      </c>
      <c r="C332">
        <v>0</v>
      </c>
      <c r="D332">
        <v>3.6</v>
      </c>
      <c r="E332">
        <v>10.6</v>
      </c>
      <c r="F332">
        <v>44</v>
      </c>
      <c r="G332" t="s">
        <v>17</v>
      </c>
      <c r="H332" t="s">
        <v>26</v>
      </c>
      <c r="I332">
        <v>20</v>
      </c>
      <c r="J332">
        <v>26</v>
      </c>
      <c r="K332">
        <v>48</v>
      </c>
      <c r="L332">
        <v>35</v>
      </c>
      <c r="M332">
        <v>1025.4000000000001</v>
      </c>
      <c r="N332">
        <v>1020.6</v>
      </c>
      <c r="O332">
        <v>2</v>
      </c>
      <c r="P332">
        <v>20</v>
      </c>
      <c r="Q332" t="s">
        <v>19</v>
      </c>
      <c r="S332">
        <v>21</v>
      </c>
      <c r="T332">
        <v>32.021867528300099</v>
      </c>
      <c r="U332">
        <v>5.66</v>
      </c>
      <c r="W332">
        <f t="shared" si="51"/>
        <v>26</v>
      </c>
      <c r="X332">
        <f t="shared" si="52"/>
        <v>32.25</v>
      </c>
      <c r="Y332">
        <f t="shared" si="53"/>
        <v>56.6</v>
      </c>
      <c r="Z332">
        <f t="shared" si="54"/>
        <v>35</v>
      </c>
      <c r="AA332">
        <f t="shared" si="55"/>
        <v>18</v>
      </c>
      <c r="AB332">
        <f t="shared" si="56"/>
        <v>17</v>
      </c>
      <c r="AC332" t="str">
        <f t="shared" si="57"/>
        <v>N</v>
      </c>
      <c r="AD332" t="str">
        <f t="shared" si="58"/>
        <v>W</v>
      </c>
      <c r="AE332">
        <f t="shared" si="59"/>
        <v>2</v>
      </c>
    </row>
    <row r="333" spans="1:31" x14ac:dyDescent="0.25">
      <c r="A333">
        <v>6.5</v>
      </c>
      <c r="B333">
        <v>25.7</v>
      </c>
      <c r="C333">
        <v>0</v>
      </c>
      <c r="D333">
        <v>4.8</v>
      </c>
      <c r="E333">
        <v>10.5</v>
      </c>
      <c r="F333">
        <v>50</v>
      </c>
      <c r="G333" t="s">
        <v>33</v>
      </c>
      <c r="H333" t="s">
        <v>17</v>
      </c>
      <c r="I333">
        <v>2</v>
      </c>
      <c r="J333">
        <v>24</v>
      </c>
      <c r="K333">
        <v>62</v>
      </c>
      <c r="L333">
        <v>25</v>
      </c>
      <c r="M333">
        <v>1022.8</v>
      </c>
      <c r="N333">
        <v>1016.4</v>
      </c>
      <c r="O333">
        <v>5</v>
      </c>
      <c r="P333">
        <v>24.7</v>
      </c>
      <c r="Q333" t="s">
        <v>19</v>
      </c>
      <c r="S333">
        <v>26</v>
      </c>
      <c r="T333">
        <v>31.981244503614928</v>
      </c>
      <c r="U333">
        <v>5.66</v>
      </c>
      <c r="W333">
        <f t="shared" si="51"/>
        <v>24</v>
      </c>
      <c r="X333">
        <f t="shared" si="52"/>
        <v>28.25</v>
      </c>
      <c r="Y333">
        <f t="shared" si="53"/>
        <v>36.5</v>
      </c>
      <c r="Z333">
        <f t="shared" si="54"/>
        <v>25</v>
      </c>
      <c r="AA333">
        <f t="shared" si="55"/>
        <v>11</v>
      </c>
      <c r="AB333">
        <f t="shared" si="56"/>
        <v>25</v>
      </c>
      <c r="AC333" t="str">
        <f t="shared" si="57"/>
        <v>N</v>
      </c>
      <c r="AD333" t="str">
        <f t="shared" si="58"/>
        <v>W</v>
      </c>
      <c r="AE333">
        <f t="shared" si="59"/>
        <v>3</v>
      </c>
    </row>
    <row r="334" spans="1:31" x14ac:dyDescent="0.25">
      <c r="A334">
        <v>14.4</v>
      </c>
      <c r="B334">
        <v>24.3</v>
      </c>
      <c r="C334">
        <v>0</v>
      </c>
      <c r="D334">
        <v>9.4</v>
      </c>
      <c r="E334">
        <v>11.1</v>
      </c>
      <c r="F334">
        <v>52</v>
      </c>
      <c r="G334" t="s">
        <v>17</v>
      </c>
      <c r="H334" t="s">
        <v>17</v>
      </c>
      <c r="I334">
        <v>31</v>
      </c>
      <c r="J334">
        <v>30</v>
      </c>
      <c r="K334">
        <v>36</v>
      </c>
      <c r="L334">
        <v>25</v>
      </c>
      <c r="M334">
        <v>1010.5</v>
      </c>
      <c r="N334">
        <v>1009.9</v>
      </c>
      <c r="O334">
        <v>1</v>
      </c>
      <c r="P334">
        <v>23</v>
      </c>
      <c r="Q334" t="s">
        <v>19</v>
      </c>
      <c r="S334">
        <v>24</v>
      </c>
      <c r="T334">
        <v>31.788362650504666</v>
      </c>
      <c r="U334">
        <v>5.64</v>
      </c>
      <c r="W334">
        <f t="shared" si="51"/>
        <v>31</v>
      </c>
      <c r="X334">
        <f t="shared" si="52"/>
        <v>30.5</v>
      </c>
      <c r="Y334">
        <f t="shared" si="53"/>
        <v>72.099999999999994</v>
      </c>
      <c r="Z334">
        <f t="shared" si="54"/>
        <v>25</v>
      </c>
      <c r="AA334">
        <f t="shared" si="55"/>
        <v>8</v>
      </c>
      <c r="AB334">
        <f t="shared" si="56"/>
        <v>25</v>
      </c>
      <c r="AC334" t="str">
        <f t="shared" si="57"/>
        <v>N</v>
      </c>
      <c r="AD334" t="str">
        <f t="shared" si="58"/>
        <v>W</v>
      </c>
      <c r="AE334">
        <f t="shared" si="59"/>
        <v>2</v>
      </c>
    </row>
    <row r="335" spans="1:31" x14ac:dyDescent="0.25">
      <c r="A335">
        <v>4.9000000000000004</v>
      </c>
      <c r="B335">
        <v>18.899999999999999</v>
      </c>
      <c r="C335">
        <v>0</v>
      </c>
      <c r="D335">
        <v>9.6</v>
      </c>
      <c r="E335">
        <v>9.4</v>
      </c>
      <c r="F335">
        <v>44</v>
      </c>
      <c r="G335" t="s">
        <v>30</v>
      </c>
      <c r="H335" t="s">
        <v>17</v>
      </c>
      <c r="I335">
        <v>6</v>
      </c>
      <c r="J335">
        <v>22</v>
      </c>
      <c r="K335">
        <v>41</v>
      </c>
      <c r="L335">
        <v>32</v>
      </c>
      <c r="M335">
        <v>1015.2</v>
      </c>
      <c r="N335">
        <v>1013.9</v>
      </c>
      <c r="O335">
        <v>2</v>
      </c>
      <c r="P335">
        <v>16</v>
      </c>
      <c r="Q335" t="s">
        <v>19</v>
      </c>
      <c r="S335">
        <v>19</v>
      </c>
      <c r="T335">
        <v>31.862203313644208</v>
      </c>
      <c r="U335">
        <v>5.64</v>
      </c>
      <c r="W335">
        <f t="shared" si="51"/>
        <v>22</v>
      </c>
      <c r="X335">
        <f t="shared" si="52"/>
        <v>25.25</v>
      </c>
      <c r="Y335">
        <f t="shared" si="53"/>
        <v>37.4</v>
      </c>
      <c r="Z335">
        <f t="shared" si="54"/>
        <v>32</v>
      </c>
      <c r="AA335">
        <f t="shared" si="55"/>
        <v>16</v>
      </c>
      <c r="AB335">
        <f t="shared" si="56"/>
        <v>17</v>
      </c>
      <c r="AC335" t="str">
        <f t="shared" si="57"/>
        <v>N</v>
      </c>
      <c r="AD335" t="str">
        <f t="shared" si="58"/>
        <v>W</v>
      </c>
      <c r="AE335">
        <f t="shared" si="59"/>
        <v>1</v>
      </c>
    </row>
    <row r="336" spans="1:31" x14ac:dyDescent="0.25">
      <c r="A336">
        <v>2.2999999999999998</v>
      </c>
      <c r="B336">
        <v>16.8</v>
      </c>
      <c r="C336">
        <v>0</v>
      </c>
      <c r="D336">
        <v>4.8</v>
      </c>
      <c r="E336">
        <v>11.4</v>
      </c>
      <c r="F336">
        <v>41</v>
      </c>
      <c r="G336" t="s">
        <v>33</v>
      </c>
      <c r="H336" t="s">
        <v>33</v>
      </c>
      <c r="I336">
        <v>6</v>
      </c>
      <c r="J336">
        <v>28</v>
      </c>
      <c r="K336">
        <v>52</v>
      </c>
      <c r="L336">
        <v>34</v>
      </c>
      <c r="M336">
        <v>1019.8</v>
      </c>
      <c r="N336">
        <v>1017</v>
      </c>
      <c r="O336">
        <v>2</v>
      </c>
      <c r="P336">
        <v>16.3</v>
      </c>
      <c r="Q336" t="s">
        <v>19</v>
      </c>
      <c r="S336">
        <v>17</v>
      </c>
      <c r="T336">
        <v>31.934307570385801</v>
      </c>
      <c r="U336">
        <v>5.65</v>
      </c>
      <c r="W336">
        <f t="shared" si="51"/>
        <v>28</v>
      </c>
      <c r="X336">
        <f t="shared" si="52"/>
        <v>30</v>
      </c>
      <c r="Y336">
        <f t="shared" si="53"/>
        <v>45.4</v>
      </c>
      <c r="Z336">
        <f t="shared" si="54"/>
        <v>34</v>
      </c>
      <c r="AA336">
        <f t="shared" si="55"/>
        <v>22</v>
      </c>
      <c r="AB336">
        <f t="shared" si="56"/>
        <v>9</v>
      </c>
      <c r="AC336" t="str">
        <f t="shared" si="57"/>
        <v>N</v>
      </c>
      <c r="AD336" t="str">
        <f t="shared" si="58"/>
        <v>W</v>
      </c>
      <c r="AE336">
        <f t="shared" si="59"/>
        <v>3</v>
      </c>
    </row>
    <row r="337" spans="1:31" x14ac:dyDescent="0.25">
      <c r="A337">
        <v>1.4</v>
      </c>
      <c r="B337">
        <v>20.6</v>
      </c>
      <c r="C337">
        <v>0</v>
      </c>
      <c r="D337">
        <v>5.4</v>
      </c>
      <c r="E337">
        <v>11.1</v>
      </c>
      <c r="F337">
        <v>46</v>
      </c>
      <c r="G337" t="s">
        <v>18</v>
      </c>
      <c r="H337" t="s">
        <v>24</v>
      </c>
      <c r="I337">
        <v>6</v>
      </c>
      <c r="J337">
        <v>30</v>
      </c>
      <c r="K337">
        <v>56</v>
      </c>
      <c r="L337">
        <v>16</v>
      </c>
      <c r="M337">
        <v>1020.8</v>
      </c>
      <c r="N337">
        <v>1015.4</v>
      </c>
      <c r="O337">
        <v>5</v>
      </c>
      <c r="P337">
        <v>19.5</v>
      </c>
      <c r="Q337" t="s">
        <v>19</v>
      </c>
      <c r="S337">
        <v>21</v>
      </c>
      <c r="T337">
        <v>31.949960876345372</v>
      </c>
      <c r="U337">
        <v>5.65</v>
      </c>
      <c r="W337">
        <f t="shared" si="51"/>
        <v>30</v>
      </c>
      <c r="X337">
        <f t="shared" si="52"/>
        <v>27</v>
      </c>
      <c r="Y337">
        <f t="shared" si="53"/>
        <v>47.1</v>
      </c>
      <c r="Z337">
        <f t="shared" si="54"/>
        <v>16</v>
      </c>
      <c r="AA337">
        <f t="shared" si="55"/>
        <v>12</v>
      </c>
      <c r="AB337">
        <f t="shared" si="56"/>
        <v>17</v>
      </c>
      <c r="AC337" t="str">
        <f t="shared" si="57"/>
        <v>N</v>
      </c>
      <c r="AD337" t="str">
        <f t="shared" si="58"/>
        <v>N</v>
      </c>
      <c r="AE337">
        <f t="shared" si="59"/>
        <v>2</v>
      </c>
    </row>
    <row r="338" spans="1:31" x14ac:dyDescent="0.25">
      <c r="A338">
        <v>5.6</v>
      </c>
      <c r="B338">
        <v>27.6</v>
      </c>
      <c r="C338">
        <v>0</v>
      </c>
      <c r="D338">
        <v>5.2</v>
      </c>
      <c r="E338">
        <v>11</v>
      </c>
      <c r="F338">
        <v>46</v>
      </c>
      <c r="G338" t="s">
        <v>33</v>
      </c>
      <c r="H338" t="s">
        <v>17</v>
      </c>
      <c r="I338">
        <v>15</v>
      </c>
      <c r="J338">
        <v>28</v>
      </c>
      <c r="K338">
        <v>44</v>
      </c>
      <c r="L338">
        <v>21</v>
      </c>
      <c r="M338">
        <v>1017.7</v>
      </c>
      <c r="N338">
        <v>1014.1</v>
      </c>
      <c r="O338">
        <v>0</v>
      </c>
      <c r="P338">
        <v>26.7</v>
      </c>
      <c r="Q338" t="s">
        <v>19</v>
      </c>
      <c r="S338">
        <v>28</v>
      </c>
      <c r="T338">
        <v>31.901410627118043</v>
      </c>
      <c r="U338">
        <v>5.65</v>
      </c>
      <c r="W338">
        <f t="shared" si="51"/>
        <v>28</v>
      </c>
      <c r="X338">
        <f t="shared" si="52"/>
        <v>27</v>
      </c>
      <c r="Y338">
        <f t="shared" si="53"/>
        <v>54</v>
      </c>
      <c r="Z338">
        <f t="shared" si="54"/>
        <v>21</v>
      </c>
      <c r="AA338">
        <f t="shared" si="55"/>
        <v>12</v>
      </c>
      <c r="AB338">
        <f t="shared" si="56"/>
        <v>17</v>
      </c>
      <c r="AC338" t="str">
        <f t="shared" si="57"/>
        <v>N</v>
      </c>
      <c r="AD338" t="str">
        <f t="shared" si="58"/>
        <v>W</v>
      </c>
      <c r="AE338">
        <f t="shared" si="59"/>
        <v>3</v>
      </c>
    </row>
    <row r="339" spans="1:31" x14ac:dyDescent="0.25">
      <c r="A339">
        <v>16.8</v>
      </c>
      <c r="B339">
        <v>28.9</v>
      </c>
      <c r="C339">
        <v>0</v>
      </c>
      <c r="D339">
        <v>10</v>
      </c>
      <c r="E339">
        <v>10.8</v>
      </c>
      <c r="F339">
        <v>70</v>
      </c>
      <c r="G339" t="s">
        <v>17</v>
      </c>
      <c r="H339" t="s">
        <v>17</v>
      </c>
      <c r="I339">
        <v>31</v>
      </c>
      <c r="J339">
        <v>41</v>
      </c>
      <c r="K339">
        <v>44</v>
      </c>
      <c r="L339">
        <v>22</v>
      </c>
      <c r="M339">
        <v>1016.3</v>
      </c>
      <c r="N339">
        <v>1011.8</v>
      </c>
      <c r="O339">
        <v>1</v>
      </c>
      <c r="P339">
        <v>28.4</v>
      </c>
      <c r="Q339" t="s">
        <v>19</v>
      </c>
      <c r="S339">
        <v>29</v>
      </c>
      <c r="T339">
        <v>31.879460472222551</v>
      </c>
      <c r="U339">
        <v>5.65</v>
      </c>
      <c r="W339">
        <f t="shared" si="51"/>
        <v>41</v>
      </c>
      <c r="X339">
        <f t="shared" si="52"/>
        <v>34.5</v>
      </c>
      <c r="Y339">
        <f t="shared" si="53"/>
        <v>82.8</v>
      </c>
      <c r="Z339">
        <f t="shared" si="54"/>
        <v>22</v>
      </c>
      <c r="AA339">
        <f t="shared" si="55"/>
        <v>3</v>
      </c>
      <c r="AB339">
        <f t="shared" si="56"/>
        <v>25</v>
      </c>
      <c r="AC339" t="str">
        <f t="shared" si="57"/>
        <v>N</v>
      </c>
      <c r="AD339" t="str">
        <f t="shared" si="58"/>
        <v>W</v>
      </c>
      <c r="AE339">
        <f t="shared" si="59"/>
        <v>2</v>
      </c>
    </row>
    <row r="340" spans="1:31" x14ac:dyDescent="0.25">
      <c r="A340">
        <v>14.4</v>
      </c>
      <c r="B340">
        <v>20.7</v>
      </c>
      <c r="C340">
        <v>7.6</v>
      </c>
      <c r="D340">
        <v>9.4</v>
      </c>
      <c r="E340">
        <v>4.9000000000000004</v>
      </c>
      <c r="F340">
        <v>33</v>
      </c>
      <c r="G340" t="s">
        <v>33</v>
      </c>
      <c r="H340" t="s">
        <v>33</v>
      </c>
      <c r="I340">
        <v>20</v>
      </c>
      <c r="J340">
        <v>19</v>
      </c>
      <c r="K340">
        <v>94</v>
      </c>
      <c r="L340">
        <v>65</v>
      </c>
      <c r="M340">
        <v>1015.5</v>
      </c>
      <c r="N340">
        <v>1013.2</v>
      </c>
      <c r="O340">
        <v>8</v>
      </c>
      <c r="P340">
        <v>19.3</v>
      </c>
      <c r="Q340" t="s">
        <v>20</v>
      </c>
      <c r="S340">
        <v>21</v>
      </c>
      <c r="T340">
        <v>31.866910738256383</v>
      </c>
      <c r="U340">
        <v>5.65</v>
      </c>
      <c r="W340">
        <f t="shared" si="51"/>
        <v>20</v>
      </c>
      <c r="X340">
        <f t="shared" si="52"/>
        <v>49.5</v>
      </c>
      <c r="Y340">
        <f t="shared" si="53"/>
        <v>43.9</v>
      </c>
      <c r="Z340">
        <f t="shared" si="54"/>
        <v>65</v>
      </c>
      <c r="AA340">
        <f t="shared" si="55"/>
        <v>23</v>
      </c>
      <c r="AB340">
        <f t="shared" si="56"/>
        <v>6</v>
      </c>
      <c r="AC340" t="str">
        <f t="shared" si="57"/>
        <v>Y</v>
      </c>
      <c r="AD340" t="str">
        <f t="shared" si="58"/>
        <v>W</v>
      </c>
      <c r="AE340">
        <f t="shared" si="59"/>
        <v>3</v>
      </c>
    </row>
    <row r="341" spans="1:31" x14ac:dyDescent="0.25">
      <c r="A341">
        <v>10.3</v>
      </c>
      <c r="B341">
        <v>21.3</v>
      </c>
      <c r="C341">
        <v>3</v>
      </c>
      <c r="D341">
        <v>4.2</v>
      </c>
      <c r="E341">
        <v>6.7</v>
      </c>
      <c r="F341">
        <v>43</v>
      </c>
      <c r="G341" t="s">
        <v>21</v>
      </c>
      <c r="H341" t="s">
        <v>24</v>
      </c>
      <c r="I341">
        <v>7</v>
      </c>
      <c r="J341">
        <v>19</v>
      </c>
      <c r="K341">
        <v>79</v>
      </c>
      <c r="L341">
        <v>46</v>
      </c>
      <c r="M341">
        <v>1018.1</v>
      </c>
      <c r="N341">
        <v>1013.6</v>
      </c>
      <c r="O341">
        <v>8</v>
      </c>
      <c r="P341">
        <v>19.8</v>
      </c>
      <c r="Q341" t="s">
        <v>20</v>
      </c>
      <c r="S341">
        <v>21</v>
      </c>
      <c r="T341">
        <v>31.907679326456822</v>
      </c>
      <c r="U341">
        <v>5.65</v>
      </c>
      <c r="W341">
        <f t="shared" si="51"/>
        <v>19</v>
      </c>
      <c r="X341">
        <f t="shared" si="52"/>
        <v>37.75</v>
      </c>
      <c r="Y341">
        <f t="shared" si="53"/>
        <v>32.700000000000003</v>
      </c>
      <c r="Z341">
        <f t="shared" si="54"/>
        <v>46</v>
      </c>
      <c r="AA341">
        <f t="shared" si="55"/>
        <v>14</v>
      </c>
      <c r="AB341">
        <f t="shared" si="56"/>
        <v>10</v>
      </c>
      <c r="AC341" t="str">
        <f t="shared" si="57"/>
        <v>Y</v>
      </c>
      <c r="AD341" t="str">
        <f t="shared" si="58"/>
        <v>N</v>
      </c>
      <c r="AE341">
        <f t="shared" si="59"/>
        <v>3</v>
      </c>
    </row>
    <row r="342" spans="1:31" x14ac:dyDescent="0.25">
      <c r="A342">
        <v>11.2</v>
      </c>
      <c r="B342">
        <v>18</v>
      </c>
      <c r="C342">
        <v>0</v>
      </c>
      <c r="D342">
        <v>4.8</v>
      </c>
      <c r="E342">
        <v>8.4</v>
      </c>
      <c r="F342">
        <v>65</v>
      </c>
      <c r="G342" t="s">
        <v>24</v>
      </c>
      <c r="H342" t="s">
        <v>23</v>
      </c>
      <c r="I342">
        <v>24</v>
      </c>
      <c r="J342">
        <v>33</v>
      </c>
      <c r="K342">
        <v>65</v>
      </c>
      <c r="L342">
        <v>40</v>
      </c>
      <c r="M342">
        <v>1009.5</v>
      </c>
      <c r="N342">
        <v>1005.3</v>
      </c>
      <c r="O342">
        <v>5</v>
      </c>
      <c r="P342">
        <v>16.2</v>
      </c>
      <c r="Q342" t="s">
        <v>19</v>
      </c>
      <c r="S342">
        <v>18</v>
      </c>
      <c r="T342">
        <v>31.77262973063451</v>
      </c>
      <c r="U342">
        <v>5.64</v>
      </c>
      <c r="W342">
        <f t="shared" si="51"/>
        <v>33</v>
      </c>
      <c r="X342">
        <f t="shared" si="52"/>
        <v>40.5</v>
      </c>
      <c r="Y342">
        <f t="shared" si="53"/>
        <v>65.400000000000006</v>
      </c>
      <c r="Z342">
        <f t="shared" si="54"/>
        <v>40</v>
      </c>
      <c r="AA342">
        <f t="shared" si="55"/>
        <v>5</v>
      </c>
      <c r="AB342">
        <f t="shared" si="56"/>
        <v>22</v>
      </c>
      <c r="AC342" t="str">
        <f t="shared" si="57"/>
        <v>N</v>
      </c>
      <c r="AD342" t="str">
        <f t="shared" si="58"/>
        <v>W</v>
      </c>
      <c r="AE342">
        <f t="shared" si="59"/>
        <v>1</v>
      </c>
    </row>
    <row r="343" spans="1:31" x14ac:dyDescent="0.25">
      <c r="A343">
        <v>0.3</v>
      </c>
      <c r="B343">
        <v>16</v>
      </c>
      <c r="C343">
        <v>8.1999999999999993</v>
      </c>
      <c r="D343">
        <v>5.4</v>
      </c>
      <c r="E343">
        <v>11.8</v>
      </c>
      <c r="F343">
        <v>57</v>
      </c>
      <c r="G343" t="s">
        <v>33</v>
      </c>
      <c r="H343" t="s">
        <v>24</v>
      </c>
      <c r="I343">
        <v>11</v>
      </c>
      <c r="J343">
        <v>28</v>
      </c>
      <c r="K343">
        <v>68</v>
      </c>
      <c r="L343">
        <v>45</v>
      </c>
      <c r="M343">
        <v>1016.8</v>
      </c>
      <c r="N343">
        <v>1013.3</v>
      </c>
      <c r="O343">
        <v>1</v>
      </c>
      <c r="P343">
        <v>14.6</v>
      </c>
      <c r="Q343" t="s">
        <v>20</v>
      </c>
      <c r="S343">
        <v>16</v>
      </c>
      <c r="T343">
        <v>31.887301547794852</v>
      </c>
      <c r="U343">
        <v>5.65</v>
      </c>
      <c r="W343">
        <f t="shared" si="51"/>
        <v>28</v>
      </c>
      <c r="X343">
        <f t="shared" si="52"/>
        <v>38</v>
      </c>
      <c r="Y343">
        <f t="shared" si="53"/>
        <v>50.8</v>
      </c>
      <c r="Z343">
        <f t="shared" si="54"/>
        <v>45</v>
      </c>
      <c r="AA343">
        <f t="shared" si="55"/>
        <v>5</v>
      </c>
      <c r="AB343">
        <f t="shared" si="56"/>
        <v>21</v>
      </c>
      <c r="AC343" t="str">
        <f t="shared" si="57"/>
        <v>Y</v>
      </c>
      <c r="AD343" t="str">
        <f t="shared" si="58"/>
        <v>N</v>
      </c>
      <c r="AE343">
        <f t="shared" si="59"/>
        <v>3</v>
      </c>
    </row>
    <row r="344" spans="1:31" x14ac:dyDescent="0.25">
      <c r="A344">
        <v>0.5</v>
      </c>
      <c r="B344">
        <v>17.899999999999999</v>
      </c>
      <c r="C344">
        <v>0</v>
      </c>
      <c r="D344">
        <v>5.8</v>
      </c>
      <c r="E344">
        <v>11.5</v>
      </c>
      <c r="F344">
        <v>44</v>
      </c>
      <c r="G344" t="s">
        <v>25</v>
      </c>
      <c r="H344" t="s">
        <v>33</v>
      </c>
      <c r="I344">
        <v>2</v>
      </c>
      <c r="J344">
        <v>26</v>
      </c>
      <c r="K344">
        <v>72</v>
      </c>
      <c r="L344">
        <v>33</v>
      </c>
      <c r="M344">
        <v>1019.1</v>
      </c>
      <c r="N344">
        <v>1017.5</v>
      </c>
      <c r="O344">
        <v>0</v>
      </c>
      <c r="P344">
        <v>16.600000000000001</v>
      </c>
      <c r="Q344" t="s">
        <v>19</v>
      </c>
      <c r="S344">
        <v>18</v>
      </c>
      <c r="T344">
        <v>31.92334568932273</v>
      </c>
      <c r="U344">
        <v>5.65</v>
      </c>
      <c r="W344">
        <f t="shared" si="51"/>
        <v>26</v>
      </c>
      <c r="X344">
        <f t="shared" si="52"/>
        <v>33.25</v>
      </c>
      <c r="Y344">
        <f t="shared" si="53"/>
        <v>39.5</v>
      </c>
      <c r="Z344">
        <f t="shared" si="54"/>
        <v>33</v>
      </c>
      <c r="AA344">
        <f t="shared" si="55"/>
        <v>11</v>
      </c>
      <c r="AB344">
        <f t="shared" si="56"/>
        <v>14</v>
      </c>
      <c r="AC344" t="str">
        <f t="shared" si="57"/>
        <v>N</v>
      </c>
      <c r="AD344" t="str">
        <f t="shared" si="58"/>
        <v>W</v>
      </c>
      <c r="AE344">
        <f t="shared" si="59"/>
        <v>3</v>
      </c>
    </row>
    <row r="345" spans="1:31" x14ac:dyDescent="0.25">
      <c r="A345">
        <v>0.5</v>
      </c>
      <c r="B345">
        <v>20</v>
      </c>
      <c r="C345">
        <v>0</v>
      </c>
      <c r="D345">
        <v>6.2</v>
      </c>
      <c r="E345">
        <v>11.5</v>
      </c>
      <c r="F345">
        <v>31</v>
      </c>
      <c r="G345" t="s">
        <v>30</v>
      </c>
      <c r="H345" t="s">
        <v>24</v>
      </c>
      <c r="I345">
        <v>2</v>
      </c>
      <c r="J345">
        <v>9</v>
      </c>
      <c r="K345">
        <v>69</v>
      </c>
      <c r="L345">
        <v>22</v>
      </c>
      <c r="M345">
        <v>1026.2</v>
      </c>
      <c r="N345">
        <v>1024.2</v>
      </c>
      <c r="O345">
        <v>0</v>
      </c>
      <c r="P345">
        <v>18.8</v>
      </c>
      <c r="Q345" t="s">
        <v>19</v>
      </c>
      <c r="S345">
        <v>20</v>
      </c>
      <c r="T345">
        <v>32.034356556672087</v>
      </c>
      <c r="U345">
        <v>5.66</v>
      </c>
      <c r="W345">
        <f t="shared" si="51"/>
        <v>9</v>
      </c>
      <c r="X345">
        <f t="shared" si="52"/>
        <v>25.5</v>
      </c>
      <c r="Y345">
        <f t="shared" si="53"/>
        <v>22.5</v>
      </c>
      <c r="Z345">
        <f t="shared" si="54"/>
        <v>22</v>
      </c>
      <c r="AA345">
        <f t="shared" si="55"/>
        <v>19</v>
      </c>
      <c r="AB345">
        <f t="shared" si="56"/>
        <v>3</v>
      </c>
      <c r="AC345" t="str">
        <f t="shared" si="57"/>
        <v>N</v>
      </c>
      <c r="AD345" t="str">
        <f t="shared" si="58"/>
        <v>N</v>
      </c>
      <c r="AE345">
        <f t="shared" si="59"/>
        <v>1</v>
      </c>
    </row>
    <row r="346" spans="1:31" x14ac:dyDescent="0.25">
      <c r="A346">
        <v>4.5999999999999996</v>
      </c>
      <c r="B346">
        <v>22</v>
      </c>
      <c r="C346">
        <v>0</v>
      </c>
      <c r="D346">
        <v>4.4000000000000004</v>
      </c>
      <c r="E346">
        <v>11</v>
      </c>
      <c r="F346">
        <v>41</v>
      </c>
      <c r="G346" t="s">
        <v>33</v>
      </c>
      <c r="H346" t="s">
        <v>24</v>
      </c>
      <c r="I346">
        <v>6</v>
      </c>
      <c r="J346">
        <v>19</v>
      </c>
      <c r="K346">
        <v>82</v>
      </c>
      <c r="L346">
        <v>25</v>
      </c>
      <c r="M346">
        <v>1028.8</v>
      </c>
      <c r="N346">
        <v>1024.9000000000001</v>
      </c>
      <c r="O346">
        <v>1</v>
      </c>
      <c r="P346">
        <v>21.4</v>
      </c>
      <c r="Q346" t="s">
        <v>19</v>
      </c>
      <c r="S346">
        <v>22</v>
      </c>
      <c r="T346">
        <v>32.074912314767126</v>
      </c>
      <c r="U346">
        <v>5.66</v>
      </c>
      <c r="W346">
        <f t="shared" si="51"/>
        <v>19</v>
      </c>
      <c r="X346">
        <f t="shared" si="52"/>
        <v>33</v>
      </c>
      <c r="Y346">
        <f t="shared" si="53"/>
        <v>36</v>
      </c>
      <c r="Z346">
        <f t="shared" si="54"/>
        <v>25</v>
      </c>
      <c r="AA346">
        <f t="shared" si="55"/>
        <v>15</v>
      </c>
      <c r="AB346">
        <f t="shared" si="56"/>
        <v>7</v>
      </c>
      <c r="AC346" t="str">
        <f t="shared" si="57"/>
        <v>N</v>
      </c>
      <c r="AD346" t="str">
        <f t="shared" si="58"/>
        <v>N</v>
      </c>
      <c r="AE346">
        <f t="shared" si="59"/>
        <v>3</v>
      </c>
    </row>
    <row r="347" spans="1:31" x14ac:dyDescent="0.25">
      <c r="A347">
        <v>8.1999999999999993</v>
      </c>
      <c r="B347">
        <v>22.4</v>
      </c>
      <c r="C347">
        <v>0</v>
      </c>
      <c r="D347">
        <v>5.4</v>
      </c>
      <c r="E347">
        <v>11.2</v>
      </c>
      <c r="F347">
        <v>31</v>
      </c>
      <c r="G347" t="s">
        <v>34</v>
      </c>
      <c r="H347" t="s">
        <v>17</v>
      </c>
      <c r="I347">
        <v>2</v>
      </c>
      <c r="J347">
        <v>17</v>
      </c>
      <c r="K347">
        <v>70</v>
      </c>
      <c r="L347">
        <v>30</v>
      </c>
      <c r="M347">
        <v>1027.8</v>
      </c>
      <c r="N347">
        <v>1023.8</v>
      </c>
      <c r="O347">
        <v>1</v>
      </c>
      <c r="P347">
        <v>20.6</v>
      </c>
      <c r="Q347" t="s">
        <v>19</v>
      </c>
      <c r="S347">
        <v>22</v>
      </c>
      <c r="T347">
        <v>32.05932001774211</v>
      </c>
      <c r="U347">
        <v>5.66</v>
      </c>
      <c r="W347">
        <f t="shared" si="51"/>
        <v>17</v>
      </c>
      <c r="X347">
        <f t="shared" si="52"/>
        <v>29.75</v>
      </c>
      <c r="Y347">
        <f t="shared" si="53"/>
        <v>30.2</v>
      </c>
      <c r="Z347">
        <f t="shared" si="54"/>
        <v>30</v>
      </c>
      <c r="AA347">
        <f t="shared" si="55"/>
        <v>18</v>
      </c>
      <c r="AB347">
        <f t="shared" si="56"/>
        <v>3</v>
      </c>
      <c r="AC347" t="str">
        <f t="shared" si="57"/>
        <v>N</v>
      </c>
      <c r="AD347" t="str">
        <f t="shared" si="58"/>
        <v>W</v>
      </c>
      <c r="AE347">
        <f t="shared" si="59"/>
        <v>3</v>
      </c>
    </row>
    <row r="348" spans="1:31" x14ac:dyDescent="0.25">
      <c r="A348">
        <v>4.5</v>
      </c>
      <c r="B348">
        <v>23.9</v>
      </c>
      <c r="C348">
        <v>0</v>
      </c>
      <c r="D348">
        <v>4.8</v>
      </c>
      <c r="E348">
        <v>11.7</v>
      </c>
      <c r="F348">
        <v>30</v>
      </c>
      <c r="G348" t="s">
        <v>21</v>
      </c>
      <c r="H348" t="s">
        <v>33</v>
      </c>
      <c r="I348">
        <v>4</v>
      </c>
      <c r="J348">
        <v>11</v>
      </c>
      <c r="K348">
        <v>67</v>
      </c>
      <c r="L348">
        <v>27</v>
      </c>
      <c r="M348">
        <v>1025.8</v>
      </c>
      <c r="N348">
        <v>1021.5</v>
      </c>
      <c r="O348">
        <v>0</v>
      </c>
      <c r="P348">
        <v>22.3</v>
      </c>
      <c r="Q348" t="s">
        <v>19</v>
      </c>
      <c r="S348">
        <v>24</v>
      </c>
      <c r="T348">
        <v>32.028112651231886</v>
      </c>
      <c r="U348">
        <v>5.66</v>
      </c>
      <c r="W348">
        <f t="shared" si="51"/>
        <v>11</v>
      </c>
      <c r="X348">
        <f t="shared" si="52"/>
        <v>27.25</v>
      </c>
      <c r="Y348">
        <f t="shared" si="53"/>
        <v>26.7</v>
      </c>
      <c r="Z348">
        <f t="shared" si="54"/>
        <v>27</v>
      </c>
      <c r="AA348">
        <f t="shared" si="55"/>
        <v>19</v>
      </c>
      <c r="AB348">
        <f t="shared" si="56"/>
        <v>2</v>
      </c>
      <c r="AC348" t="str">
        <f t="shared" si="57"/>
        <v>N</v>
      </c>
      <c r="AD348" t="str">
        <f t="shared" si="58"/>
        <v>W</v>
      </c>
      <c r="AE348">
        <f t="shared" si="59"/>
        <v>3</v>
      </c>
    </row>
    <row r="349" spans="1:31" x14ac:dyDescent="0.25">
      <c r="A349">
        <v>6.7</v>
      </c>
      <c r="B349">
        <v>26.1</v>
      </c>
      <c r="C349">
        <v>0</v>
      </c>
      <c r="D349">
        <v>6.2</v>
      </c>
      <c r="E349">
        <v>7.5</v>
      </c>
      <c r="F349">
        <v>70</v>
      </c>
      <c r="G349" t="s">
        <v>32</v>
      </c>
      <c r="H349" t="s">
        <v>33</v>
      </c>
      <c r="I349">
        <v>6</v>
      </c>
      <c r="J349">
        <v>33</v>
      </c>
      <c r="K349">
        <v>56</v>
      </c>
      <c r="L349">
        <v>47</v>
      </c>
      <c r="M349">
        <v>1020.9</v>
      </c>
      <c r="N349">
        <v>1016</v>
      </c>
      <c r="O349">
        <v>4</v>
      </c>
      <c r="P349">
        <v>23.2</v>
      </c>
      <c r="Q349" t="s">
        <v>19</v>
      </c>
      <c r="S349">
        <v>26</v>
      </c>
      <c r="T349">
        <v>31.951525785164002</v>
      </c>
      <c r="U349">
        <v>5.65</v>
      </c>
      <c r="W349">
        <f t="shared" si="51"/>
        <v>33</v>
      </c>
      <c r="X349">
        <f t="shared" si="52"/>
        <v>35.5</v>
      </c>
      <c r="Y349">
        <f t="shared" si="53"/>
        <v>46.5</v>
      </c>
      <c r="Z349">
        <f t="shared" si="54"/>
        <v>47</v>
      </c>
      <c r="AA349">
        <f t="shared" si="55"/>
        <v>3</v>
      </c>
      <c r="AB349">
        <f t="shared" si="56"/>
        <v>16</v>
      </c>
      <c r="AC349" t="str">
        <f t="shared" si="57"/>
        <v>N</v>
      </c>
      <c r="AD349" t="str">
        <f t="shared" si="58"/>
        <v>W</v>
      </c>
      <c r="AE349">
        <f t="shared" si="59"/>
        <v>2</v>
      </c>
    </row>
    <row r="350" spans="1:31" x14ac:dyDescent="0.25">
      <c r="A350">
        <v>11.9</v>
      </c>
      <c r="B350">
        <v>21.1</v>
      </c>
      <c r="C350">
        <v>13.2</v>
      </c>
      <c r="D350">
        <v>6.6</v>
      </c>
      <c r="E350" t="s">
        <v>35</v>
      </c>
      <c r="F350">
        <v>41</v>
      </c>
      <c r="G350" t="s">
        <v>25</v>
      </c>
      <c r="H350" t="s">
        <v>24</v>
      </c>
      <c r="I350">
        <v>7</v>
      </c>
      <c r="J350">
        <v>24</v>
      </c>
      <c r="K350">
        <v>82</v>
      </c>
      <c r="L350">
        <v>61</v>
      </c>
      <c r="M350">
        <v>1019.2</v>
      </c>
      <c r="N350">
        <v>1016.7</v>
      </c>
      <c r="O350">
        <v>7</v>
      </c>
      <c r="P350">
        <v>19.399999999999999</v>
      </c>
      <c r="Q350" t="s">
        <v>20</v>
      </c>
      <c r="S350">
        <v>21</v>
      </c>
      <c r="T350">
        <v>31.924911902775865</v>
      </c>
      <c r="U350">
        <v>5.65</v>
      </c>
      <c r="W350">
        <f t="shared" si="51"/>
        <v>24</v>
      </c>
      <c r="X350">
        <f t="shared" si="52"/>
        <v>43.5</v>
      </c>
      <c r="Y350">
        <f t="shared" si="53"/>
        <v>31</v>
      </c>
      <c r="Z350">
        <f t="shared" si="54"/>
        <v>61</v>
      </c>
      <c r="AA350">
        <f t="shared" si="55"/>
        <v>14</v>
      </c>
      <c r="AB350">
        <f t="shared" si="56"/>
        <v>5</v>
      </c>
      <c r="AC350" t="str">
        <f t="shared" si="57"/>
        <v>Y</v>
      </c>
      <c r="AD350" t="str">
        <f t="shared" si="58"/>
        <v>N</v>
      </c>
      <c r="AE350">
        <f t="shared" si="59"/>
        <v>3</v>
      </c>
    </row>
    <row r="351" spans="1:31" x14ac:dyDescent="0.25">
      <c r="A351">
        <v>9.1999999999999993</v>
      </c>
      <c r="B351">
        <v>19.600000000000001</v>
      </c>
      <c r="C351">
        <v>0.6</v>
      </c>
      <c r="D351">
        <v>3.4</v>
      </c>
      <c r="E351">
        <v>10.4</v>
      </c>
      <c r="F351">
        <v>31</v>
      </c>
      <c r="G351" t="s">
        <v>27</v>
      </c>
      <c r="H351" t="s">
        <v>33</v>
      </c>
      <c r="I351">
        <v>4</v>
      </c>
      <c r="J351">
        <v>7</v>
      </c>
      <c r="K351">
        <v>71</v>
      </c>
      <c r="L351">
        <v>42</v>
      </c>
      <c r="M351">
        <v>1022.3</v>
      </c>
      <c r="N351">
        <v>1019.7</v>
      </c>
      <c r="O351">
        <v>7</v>
      </c>
      <c r="P351">
        <v>18.399999999999999</v>
      </c>
      <c r="Q351" t="s">
        <v>19</v>
      </c>
      <c r="S351">
        <v>20</v>
      </c>
      <c r="T351">
        <v>31.97342646636422</v>
      </c>
      <c r="U351">
        <v>5.65</v>
      </c>
      <c r="W351">
        <f t="shared" si="51"/>
        <v>7</v>
      </c>
      <c r="X351">
        <f t="shared" si="52"/>
        <v>31</v>
      </c>
      <c r="Y351">
        <f t="shared" si="53"/>
        <v>21.4</v>
      </c>
      <c r="Z351">
        <f t="shared" si="54"/>
        <v>42</v>
      </c>
      <c r="AA351">
        <f t="shared" si="55"/>
        <v>16</v>
      </c>
      <c r="AB351">
        <f t="shared" si="56"/>
        <v>2</v>
      </c>
      <c r="AC351" t="str">
        <f t="shared" si="57"/>
        <v>N</v>
      </c>
      <c r="AD351" t="str">
        <f t="shared" si="58"/>
        <v>W</v>
      </c>
      <c r="AE351">
        <f t="shared" si="59"/>
        <v>3</v>
      </c>
    </row>
    <row r="352" spans="1:31" x14ac:dyDescent="0.25">
      <c r="A352">
        <v>4.4000000000000004</v>
      </c>
      <c r="B352">
        <v>21</v>
      </c>
      <c r="C352">
        <v>0</v>
      </c>
      <c r="D352">
        <v>4.2</v>
      </c>
      <c r="E352">
        <v>12.2</v>
      </c>
      <c r="F352">
        <v>28</v>
      </c>
      <c r="G352" t="s">
        <v>18</v>
      </c>
      <c r="H352" t="s">
        <v>17</v>
      </c>
      <c r="I352">
        <v>2</v>
      </c>
      <c r="J352">
        <v>9</v>
      </c>
      <c r="K352">
        <v>73</v>
      </c>
      <c r="L352">
        <v>30</v>
      </c>
      <c r="M352">
        <v>1025.7</v>
      </c>
      <c r="N352">
        <v>1022.3</v>
      </c>
      <c r="O352">
        <v>1</v>
      </c>
      <c r="P352">
        <v>19.2</v>
      </c>
      <c r="Q352" t="s">
        <v>19</v>
      </c>
      <c r="S352">
        <v>21</v>
      </c>
      <c r="T352">
        <v>32.026551484666598</v>
      </c>
      <c r="U352">
        <v>5.66</v>
      </c>
      <c r="W352">
        <f t="shared" si="51"/>
        <v>9</v>
      </c>
      <c r="X352">
        <f t="shared" si="52"/>
        <v>28.5</v>
      </c>
      <c r="Y352">
        <f t="shared" si="53"/>
        <v>23.2</v>
      </c>
      <c r="Z352">
        <f t="shared" si="54"/>
        <v>30</v>
      </c>
      <c r="AA352">
        <f t="shared" si="55"/>
        <v>16</v>
      </c>
      <c r="AB352">
        <f t="shared" si="56"/>
        <v>1</v>
      </c>
      <c r="AC352" t="str">
        <f t="shared" si="57"/>
        <v>N</v>
      </c>
      <c r="AD352" t="str">
        <f t="shared" si="58"/>
        <v>W</v>
      </c>
      <c r="AE352">
        <f t="shared" si="59"/>
        <v>2</v>
      </c>
    </row>
    <row r="353" spans="1:31" x14ac:dyDescent="0.25">
      <c r="A353">
        <v>5</v>
      </c>
      <c r="B353">
        <v>24.1</v>
      </c>
      <c r="C353">
        <v>0</v>
      </c>
      <c r="D353">
        <v>6.2</v>
      </c>
      <c r="E353">
        <v>12</v>
      </c>
      <c r="F353">
        <v>52</v>
      </c>
      <c r="G353" t="s">
        <v>35</v>
      </c>
      <c r="H353" t="s">
        <v>33</v>
      </c>
      <c r="I353">
        <v>0</v>
      </c>
      <c r="J353">
        <v>26</v>
      </c>
      <c r="K353">
        <v>73</v>
      </c>
      <c r="L353">
        <v>34</v>
      </c>
      <c r="M353">
        <v>1024.5</v>
      </c>
      <c r="N353">
        <v>1020.7</v>
      </c>
      <c r="O353">
        <v>6</v>
      </c>
      <c r="P353">
        <v>21.9</v>
      </c>
      <c r="Q353" t="s">
        <v>19</v>
      </c>
      <c r="S353">
        <v>24</v>
      </c>
      <c r="T353">
        <v>32.007811546558443</v>
      </c>
      <c r="U353">
        <v>5.66</v>
      </c>
      <c r="W353">
        <f t="shared" si="51"/>
        <v>26</v>
      </c>
      <c r="X353">
        <f t="shared" si="52"/>
        <v>33.25</v>
      </c>
      <c r="Y353">
        <f t="shared" si="53"/>
        <v>38</v>
      </c>
      <c r="Z353">
        <f t="shared" si="54"/>
        <v>34</v>
      </c>
      <c r="AA353">
        <f t="shared" si="55"/>
        <v>4</v>
      </c>
      <c r="AB353">
        <f t="shared" si="56"/>
        <v>11</v>
      </c>
      <c r="AC353" t="str">
        <f t="shared" si="57"/>
        <v>N</v>
      </c>
      <c r="AD353" t="str">
        <f t="shared" si="58"/>
        <v>W</v>
      </c>
      <c r="AE353">
        <f t="shared" si="59"/>
        <v>2</v>
      </c>
    </row>
    <row r="354" spans="1:31" x14ac:dyDescent="0.25">
      <c r="A354">
        <v>6.7</v>
      </c>
      <c r="B354">
        <v>24.7</v>
      </c>
      <c r="C354">
        <v>0</v>
      </c>
      <c r="D354">
        <v>5.4</v>
      </c>
      <c r="E354">
        <v>8.6</v>
      </c>
      <c r="F354">
        <v>43</v>
      </c>
      <c r="G354" t="s">
        <v>24</v>
      </c>
      <c r="H354" t="s">
        <v>17</v>
      </c>
      <c r="I354">
        <v>4</v>
      </c>
      <c r="J354">
        <v>20</v>
      </c>
      <c r="K354">
        <v>80</v>
      </c>
      <c r="L354">
        <v>31</v>
      </c>
      <c r="M354">
        <v>1025.7</v>
      </c>
      <c r="N354">
        <v>1022.2</v>
      </c>
      <c r="O354">
        <v>1</v>
      </c>
      <c r="P354">
        <v>23.7</v>
      </c>
      <c r="Q354" t="s">
        <v>19</v>
      </c>
      <c r="S354">
        <v>25</v>
      </c>
      <c r="T354">
        <v>32.026551484666598</v>
      </c>
      <c r="U354">
        <v>5.66</v>
      </c>
      <c r="W354">
        <f t="shared" si="51"/>
        <v>20</v>
      </c>
      <c r="X354">
        <f t="shared" si="52"/>
        <v>33.75</v>
      </c>
      <c r="Y354">
        <f t="shared" si="53"/>
        <v>32.6</v>
      </c>
      <c r="Z354">
        <f t="shared" si="54"/>
        <v>31</v>
      </c>
      <c r="AA354">
        <f t="shared" si="55"/>
        <v>9</v>
      </c>
      <c r="AB354">
        <f t="shared" si="56"/>
        <v>3</v>
      </c>
      <c r="AC354" t="str">
        <f t="shared" si="57"/>
        <v>N</v>
      </c>
      <c r="AD354" t="str">
        <f t="shared" si="58"/>
        <v>W</v>
      </c>
      <c r="AE354">
        <f t="shared" si="59"/>
        <v>1</v>
      </c>
    </row>
    <row r="355" spans="1:31" x14ac:dyDescent="0.25">
      <c r="A355">
        <v>8.3000000000000007</v>
      </c>
      <c r="B355">
        <v>28.5</v>
      </c>
      <c r="C355">
        <v>0</v>
      </c>
      <c r="D355">
        <v>5.8</v>
      </c>
      <c r="E355">
        <v>9.8000000000000007</v>
      </c>
      <c r="F355">
        <v>46</v>
      </c>
      <c r="G355" t="s">
        <v>23</v>
      </c>
      <c r="H355" t="s">
        <v>17</v>
      </c>
      <c r="I355">
        <v>2</v>
      </c>
      <c r="J355">
        <v>26</v>
      </c>
      <c r="K355">
        <v>66</v>
      </c>
      <c r="L355">
        <v>30</v>
      </c>
      <c r="M355">
        <v>1024.0999999999999</v>
      </c>
      <c r="N355">
        <v>1019.8</v>
      </c>
      <c r="O355">
        <v>1</v>
      </c>
      <c r="P355">
        <v>27.4</v>
      </c>
      <c r="Q355" t="s">
        <v>19</v>
      </c>
      <c r="S355">
        <v>29</v>
      </c>
      <c r="T355">
        <v>32.001562461854888</v>
      </c>
      <c r="U355">
        <v>5.66</v>
      </c>
      <c r="W355">
        <f t="shared" si="51"/>
        <v>26</v>
      </c>
      <c r="X355">
        <f t="shared" si="52"/>
        <v>31</v>
      </c>
      <c r="Y355">
        <f t="shared" si="53"/>
        <v>37.799999999999997</v>
      </c>
      <c r="Z355">
        <f t="shared" si="54"/>
        <v>30</v>
      </c>
      <c r="AA355">
        <f t="shared" si="55"/>
        <v>7</v>
      </c>
      <c r="AB355">
        <f t="shared" si="56"/>
        <v>6</v>
      </c>
      <c r="AC355" t="str">
        <f t="shared" si="57"/>
        <v>N</v>
      </c>
      <c r="AD355" t="str">
        <f t="shared" si="58"/>
        <v>W</v>
      </c>
      <c r="AE355">
        <f t="shared" si="59"/>
        <v>1</v>
      </c>
    </row>
    <row r="356" spans="1:31" x14ac:dyDescent="0.25">
      <c r="A356">
        <v>11.3</v>
      </c>
      <c r="B356">
        <v>27.4</v>
      </c>
      <c r="C356">
        <v>0.2</v>
      </c>
      <c r="D356">
        <v>7.6</v>
      </c>
      <c r="E356">
        <v>12.1</v>
      </c>
      <c r="F356">
        <v>52</v>
      </c>
      <c r="G356" t="s">
        <v>29</v>
      </c>
      <c r="H356" t="s">
        <v>17</v>
      </c>
      <c r="I356">
        <v>6</v>
      </c>
      <c r="J356">
        <v>31</v>
      </c>
      <c r="K356">
        <v>60</v>
      </c>
      <c r="L356">
        <v>20</v>
      </c>
      <c r="M356">
        <v>1021.4</v>
      </c>
      <c r="N356">
        <v>1017.5</v>
      </c>
      <c r="O356">
        <v>1</v>
      </c>
      <c r="P356">
        <v>26.3</v>
      </c>
      <c r="Q356" t="s">
        <v>19</v>
      </c>
      <c r="S356">
        <v>27</v>
      </c>
      <c r="T356">
        <v>31.959349179856588</v>
      </c>
      <c r="U356">
        <v>5.65</v>
      </c>
      <c r="W356">
        <f t="shared" si="51"/>
        <v>31</v>
      </c>
      <c r="X356">
        <f t="shared" si="52"/>
        <v>29.25</v>
      </c>
      <c r="Y356">
        <f t="shared" si="53"/>
        <v>49.1</v>
      </c>
      <c r="Z356">
        <f t="shared" si="54"/>
        <v>20</v>
      </c>
      <c r="AA356">
        <f t="shared" si="55"/>
        <v>4</v>
      </c>
      <c r="AB356">
        <f t="shared" si="56"/>
        <v>9</v>
      </c>
      <c r="AC356" t="str">
        <f t="shared" si="57"/>
        <v>N</v>
      </c>
      <c r="AD356" t="str">
        <f t="shared" si="58"/>
        <v>W</v>
      </c>
      <c r="AE356">
        <f t="shared" si="59"/>
        <v>2</v>
      </c>
    </row>
    <row r="357" spans="1:31" x14ac:dyDescent="0.25">
      <c r="A357">
        <v>9</v>
      </c>
      <c r="B357">
        <v>20.6</v>
      </c>
      <c r="C357">
        <v>0</v>
      </c>
      <c r="D357">
        <v>9</v>
      </c>
      <c r="E357">
        <v>6.2</v>
      </c>
      <c r="F357">
        <v>39</v>
      </c>
      <c r="G357" t="s">
        <v>30</v>
      </c>
      <c r="H357" t="s">
        <v>18</v>
      </c>
      <c r="I357">
        <v>11</v>
      </c>
      <c r="J357">
        <v>11</v>
      </c>
      <c r="K357">
        <v>54</v>
      </c>
      <c r="L357">
        <v>28</v>
      </c>
      <c r="M357">
        <v>1022.3</v>
      </c>
      <c r="N357">
        <v>1018.6</v>
      </c>
      <c r="O357">
        <v>7</v>
      </c>
      <c r="P357">
        <v>18.5</v>
      </c>
      <c r="Q357" t="s">
        <v>19</v>
      </c>
      <c r="S357">
        <v>21</v>
      </c>
      <c r="T357">
        <v>31.97342646636422</v>
      </c>
      <c r="U357">
        <v>5.65</v>
      </c>
      <c r="W357">
        <f t="shared" si="51"/>
        <v>11</v>
      </c>
      <c r="X357">
        <f t="shared" si="52"/>
        <v>26</v>
      </c>
      <c r="Y357">
        <f t="shared" si="53"/>
        <v>28.2</v>
      </c>
      <c r="Z357">
        <f t="shared" si="54"/>
        <v>28</v>
      </c>
      <c r="AA357">
        <f t="shared" si="55"/>
        <v>10</v>
      </c>
      <c r="AB357">
        <f t="shared" si="56"/>
        <v>1</v>
      </c>
      <c r="AC357" t="str">
        <f t="shared" si="57"/>
        <v>N</v>
      </c>
      <c r="AD357" t="str">
        <f t="shared" si="58"/>
        <v>W</v>
      </c>
      <c r="AE357">
        <f t="shared" si="59"/>
        <v>1</v>
      </c>
    </row>
    <row r="358" spans="1:31" x14ac:dyDescent="0.25">
      <c r="A358">
        <v>3.4</v>
      </c>
      <c r="B358">
        <v>15</v>
      </c>
      <c r="C358">
        <v>0.8</v>
      </c>
      <c r="D358">
        <v>4.8</v>
      </c>
      <c r="E358">
        <v>11.7</v>
      </c>
      <c r="F358">
        <v>70</v>
      </c>
      <c r="G358" t="s">
        <v>30</v>
      </c>
      <c r="H358" t="s">
        <v>30</v>
      </c>
      <c r="I358">
        <v>35</v>
      </c>
      <c r="J358">
        <v>37</v>
      </c>
      <c r="K358">
        <v>43</v>
      </c>
      <c r="L358">
        <v>24</v>
      </c>
      <c r="M358">
        <v>1023.4</v>
      </c>
      <c r="N358">
        <v>1023.1</v>
      </c>
      <c r="O358">
        <v>1</v>
      </c>
      <c r="P358">
        <v>14.3</v>
      </c>
      <c r="Q358" t="s">
        <v>19</v>
      </c>
      <c r="S358">
        <v>15</v>
      </c>
      <c r="T358">
        <v>31.990623626306505</v>
      </c>
      <c r="U358">
        <v>5.66</v>
      </c>
      <c r="W358">
        <f t="shared" si="51"/>
        <v>37</v>
      </c>
      <c r="X358">
        <f t="shared" si="52"/>
        <v>34.75</v>
      </c>
      <c r="Y358">
        <f t="shared" si="53"/>
        <v>83.7</v>
      </c>
      <c r="Z358">
        <f t="shared" si="54"/>
        <v>24</v>
      </c>
      <c r="AA358">
        <f t="shared" si="55"/>
        <v>3</v>
      </c>
      <c r="AB358">
        <f t="shared" si="56"/>
        <v>8</v>
      </c>
      <c r="AC358" t="str">
        <f t="shared" si="57"/>
        <v>N</v>
      </c>
      <c r="AD358" t="str">
        <f t="shared" si="58"/>
        <v>S</v>
      </c>
      <c r="AE358">
        <f t="shared" si="59"/>
        <v>1</v>
      </c>
    </row>
    <row r="359" spans="1:31" x14ac:dyDescent="0.25">
      <c r="A359">
        <v>3.2</v>
      </c>
      <c r="B359">
        <v>18</v>
      </c>
      <c r="C359">
        <v>0</v>
      </c>
      <c r="D359">
        <v>7.4</v>
      </c>
      <c r="E359">
        <v>12.2</v>
      </c>
      <c r="F359">
        <v>48</v>
      </c>
      <c r="G359" t="s">
        <v>27</v>
      </c>
      <c r="H359" t="s">
        <v>30</v>
      </c>
      <c r="I359">
        <v>26</v>
      </c>
      <c r="J359">
        <v>15</v>
      </c>
      <c r="K359">
        <v>47</v>
      </c>
      <c r="L359">
        <v>25</v>
      </c>
      <c r="M359">
        <v>1026.5999999999999</v>
      </c>
      <c r="N359">
        <v>1022.8</v>
      </c>
      <c r="O359">
        <v>1</v>
      </c>
      <c r="P359">
        <v>16.3</v>
      </c>
      <c r="Q359" t="s">
        <v>19</v>
      </c>
      <c r="S359">
        <v>18</v>
      </c>
      <c r="T359">
        <v>32.040599245332473</v>
      </c>
      <c r="U359">
        <v>5.66</v>
      </c>
      <c r="W359">
        <f t="shared" si="51"/>
        <v>26</v>
      </c>
      <c r="X359">
        <f t="shared" si="52"/>
        <v>28.25</v>
      </c>
      <c r="Y359">
        <f t="shared" si="53"/>
        <v>53.2</v>
      </c>
      <c r="Z359">
        <f t="shared" si="54"/>
        <v>25</v>
      </c>
      <c r="AA359">
        <f t="shared" si="55"/>
        <v>3</v>
      </c>
      <c r="AB359">
        <f t="shared" si="56"/>
        <v>6</v>
      </c>
      <c r="AC359" t="str">
        <f t="shared" si="57"/>
        <v>N</v>
      </c>
      <c r="AD359" t="str">
        <f t="shared" si="58"/>
        <v>S</v>
      </c>
      <c r="AE359">
        <f t="shared" si="59"/>
        <v>3</v>
      </c>
    </row>
    <row r="360" spans="1:31" x14ac:dyDescent="0.25">
      <c r="A360">
        <v>0.9</v>
      </c>
      <c r="B360">
        <v>20.7</v>
      </c>
      <c r="C360">
        <v>0</v>
      </c>
      <c r="D360">
        <v>5.4</v>
      </c>
      <c r="E360">
        <v>8.4</v>
      </c>
      <c r="F360">
        <v>39</v>
      </c>
      <c r="G360" t="s">
        <v>27</v>
      </c>
      <c r="H360" t="s">
        <v>24</v>
      </c>
      <c r="I360">
        <v>2</v>
      </c>
      <c r="J360">
        <v>17</v>
      </c>
      <c r="K360">
        <v>71</v>
      </c>
      <c r="L360">
        <v>29</v>
      </c>
      <c r="M360">
        <v>1023.2</v>
      </c>
      <c r="N360">
        <v>1018.4</v>
      </c>
      <c r="O360">
        <v>3</v>
      </c>
      <c r="P360">
        <v>19.100000000000001</v>
      </c>
      <c r="Q360" t="s">
        <v>19</v>
      </c>
      <c r="S360">
        <v>21</v>
      </c>
      <c r="T360">
        <v>31.98749755763961</v>
      </c>
      <c r="U360">
        <v>5.66</v>
      </c>
      <c r="W360">
        <f t="shared" si="51"/>
        <v>17</v>
      </c>
      <c r="X360">
        <f t="shared" si="52"/>
        <v>29.75</v>
      </c>
      <c r="Y360">
        <f t="shared" si="53"/>
        <v>27.4</v>
      </c>
      <c r="Z360">
        <f t="shared" si="54"/>
        <v>29</v>
      </c>
      <c r="AA360">
        <f t="shared" si="55"/>
        <v>8</v>
      </c>
      <c r="AB360">
        <f t="shared" si="56"/>
        <v>1</v>
      </c>
      <c r="AC360" t="str">
        <f t="shared" si="57"/>
        <v>N</v>
      </c>
      <c r="AD360" t="str">
        <f t="shared" si="58"/>
        <v>N</v>
      </c>
      <c r="AE360">
        <f t="shared" si="59"/>
        <v>3</v>
      </c>
    </row>
    <row r="361" spans="1:31" x14ac:dyDescent="0.25">
      <c r="A361">
        <v>3.3</v>
      </c>
      <c r="B361">
        <v>25.5</v>
      </c>
      <c r="C361">
        <v>0</v>
      </c>
      <c r="D361">
        <v>5.2</v>
      </c>
      <c r="E361">
        <v>10.8</v>
      </c>
      <c r="F361">
        <v>43</v>
      </c>
      <c r="G361" t="s">
        <v>24</v>
      </c>
      <c r="H361" t="s">
        <v>33</v>
      </c>
      <c r="I361">
        <v>4</v>
      </c>
      <c r="J361">
        <v>19</v>
      </c>
      <c r="K361">
        <v>57</v>
      </c>
      <c r="L361">
        <v>16</v>
      </c>
      <c r="M361">
        <v>1018.8</v>
      </c>
      <c r="N361">
        <v>1014.6</v>
      </c>
      <c r="O361">
        <v>0</v>
      </c>
      <c r="P361">
        <v>24.8</v>
      </c>
      <c r="Q361" t="s">
        <v>19</v>
      </c>
      <c r="S361">
        <v>26</v>
      </c>
      <c r="T361">
        <v>31.918646587848926</v>
      </c>
      <c r="U361">
        <v>5.65</v>
      </c>
      <c r="W361">
        <f t="shared" si="51"/>
        <v>19</v>
      </c>
      <c r="X361">
        <f t="shared" si="52"/>
        <v>24</v>
      </c>
      <c r="Y361">
        <f t="shared" si="53"/>
        <v>33.799999999999997</v>
      </c>
      <c r="Z361">
        <f t="shared" si="54"/>
        <v>16</v>
      </c>
      <c r="AA361">
        <f t="shared" si="55"/>
        <v>5</v>
      </c>
      <c r="AB361">
        <f t="shared" si="56"/>
        <v>1</v>
      </c>
      <c r="AC361" t="str">
        <f t="shared" si="57"/>
        <v>N</v>
      </c>
      <c r="AD361" t="str">
        <f t="shared" si="58"/>
        <v>W</v>
      </c>
      <c r="AE361">
        <f t="shared" si="59"/>
        <v>1</v>
      </c>
    </row>
    <row r="362" spans="1:31" x14ac:dyDescent="0.25">
      <c r="A362">
        <v>7.9</v>
      </c>
      <c r="B362">
        <v>26.1</v>
      </c>
      <c r="C362">
        <v>0</v>
      </c>
      <c r="D362">
        <v>6.8</v>
      </c>
      <c r="E362">
        <v>3.5</v>
      </c>
      <c r="F362">
        <v>43</v>
      </c>
      <c r="G362" t="s">
        <v>35</v>
      </c>
      <c r="H362" t="s">
        <v>26</v>
      </c>
      <c r="I362">
        <v>0</v>
      </c>
      <c r="J362">
        <v>19</v>
      </c>
      <c r="K362">
        <v>45</v>
      </c>
      <c r="L362">
        <v>20</v>
      </c>
      <c r="M362">
        <v>1017.6</v>
      </c>
      <c r="N362">
        <v>1014.2</v>
      </c>
      <c r="O362">
        <v>5</v>
      </c>
      <c r="P362">
        <v>25.9</v>
      </c>
      <c r="Q362" t="s">
        <v>19</v>
      </c>
      <c r="S362">
        <v>26</v>
      </c>
      <c r="T362">
        <v>31.899843259803017</v>
      </c>
      <c r="U362">
        <v>5.65</v>
      </c>
      <c r="W362">
        <f t="shared" si="51"/>
        <v>19</v>
      </c>
      <c r="X362">
        <f t="shared" si="52"/>
        <v>21</v>
      </c>
      <c r="Y362">
        <f t="shared" si="53"/>
        <v>22.5</v>
      </c>
      <c r="Z362">
        <f t="shared" si="54"/>
        <v>20</v>
      </c>
      <c r="AA362">
        <f t="shared" si="55"/>
        <v>5</v>
      </c>
      <c r="AB362">
        <f t="shared" si="56"/>
        <v>1</v>
      </c>
      <c r="AC362" t="str">
        <f t="shared" si="57"/>
        <v>N</v>
      </c>
      <c r="AD362" t="str">
        <f t="shared" si="58"/>
        <v>W</v>
      </c>
      <c r="AE362">
        <f t="shared" si="59"/>
        <v>2</v>
      </c>
    </row>
    <row r="363" spans="1:31" x14ac:dyDescent="0.25">
      <c r="A363">
        <v>9</v>
      </c>
      <c r="B363">
        <v>30.7</v>
      </c>
      <c r="C363">
        <v>0</v>
      </c>
      <c r="D363">
        <v>7.6</v>
      </c>
      <c r="E363">
        <v>12.1</v>
      </c>
      <c r="F363">
        <v>76</v>
      </c>
      <c r="G363" t="s">
        <v>27</v>
      </c>
      <c r="H363" t="s">
        <v>17</v>
      </c>
      <c r="I363">
        <v>7</v>
      </c>
      <c r="J363">
        <v>50</v>
      </c>
      <c r="K363">
        <v>38</v>
      </c>
      <c r="L363">
        <v>15</v>
      </c>
      <c r="M363">
        <v>1016.1</v>
      </c>
      <c r="N363">
        <v>1010.8</v>
      </c>
      <c r="O363">
        <v>1</v>
      </c>
      <c r="P363">
        <v>30</v>
      </c>
      <c r="Q363" t="s">
        <v>19</v>
      </c>
      <c r="S363">
        <v>31</v>
      </c>
      <c r="T363">
        <v>31.876323501934788</v>
      </c>
      <c r="U363">
        <v>5.65</v>
      </c>
      <c r="W363">
        <f t="shared" si="51"/>
        <v>50</v>
      </c>
      <c r="X363">
        <f t="shared" si="52"/>
        <v>27.5</v>
      </c>
      <c r="Y363">
        <f t="shared" si="53"/>
        <v>69.099999999999994</v>
      </c>
      <c r="Z363">
        <f t="shared" si="54"/>
        <v>15</v>
      </c>
      <c r="AA363">
        <f t="shared" si="55"/>
        <v>2</v>
      </c>
      <c r="AB363">
        <f t="shared" si="56"/>
        <v>4</v>
      </c>
      <c r="AC363" t="str">
        <f t="shared" si="57"/>
        <v>N</v>
      </c>
      <c r="AD363" t="str">
        <f t="shared" si="58"/>
        <v>W</v>
      </c>
      <c r="AE363">
        <f t="shared" si="59"/>
        <v>3</v>
      </c>
    </row>
    <row r="364" spans="1:31" x14ac:dyDescent="0.25">
      <c r="A364">
        <v>7.1</v>
      </c>
      <c r="B364">
        <v>28.4</v>
      </c>
      <c r="C364">
        <v>0</v>
      </c>
      <c r="D364">
        <v>11.6</v>
      </c>
      <c r="E364">
        <v>12.7</v>
      </c>
      <c r="F364">
        <v>48</v>
      </c>
      <c r="G364" t="s">
        <v>33</v>
      </c>
      <c r="H364" t="s">
        <v>33</v>
      </c>
      <c r="I364">
        <v>2</v>
      </c>
      <c r="J364">
        <v>19</v>
      </c>
      <c r="K364">
        <v>45</v>
      </c>
      <c r="L364">
        <v>22</v>
      </c>
      <c r="M364">
        <v>1020</v>
      </c>
      <c r="N364">
        <v>1016.9</v>
      </c>
      <c r="O364">
        <v>0</v>
      </c>
      <c r="P364">
        <v>28.2</v>
      </c>
      <c r="Q364" t="s">
        <v>19</v>
      </c>
      <c r="S364">
        <v>28</v>
      </c>
      <c r="T364">
        <v>31.937438845342623</v>
      </c>
      <c r="U364">
        <v>5.65</v>
      </c>
      <c r="W364">
        <f t="shared" si="51"/>
        <v>19</v>
      </c>
      <c r="X364">
        <f t="shared" si="52"/>
        <v>22</v>
      </c>
      <c r="Y364">
        <f t="shared" si="53"/>
        <v>33.700000000000003</v>
      </c>
      <c r="Z364">
        <f t="shared" si="54"/>
        <v>22</v>
      </c>
      <c r="AA364">
        <f t="shared" si="55"/>
        <v>2</v>
      </c>
      <c r="AB364">
        <f t="shared" si="56"/>
        <v>3</v>
      </c>
      <c r="AC364" t="str">
        <f t="shared" si="57"/>
        <v>N</v>
      </c>
      <c r="AD364" t="str">
        <f t="shared" si="58"/>
        <v>W</v>
      </c>
      <c r="AE364">
        <f t="shared" si="59"/>
        <v>3</v>
      </c>
    </row>
    <row r="365" spans="1:31" x14ac:dyDescent="0.25">
      <c r="A365">
        <v>12.5</v>
      </c>
      <c r="B365">
        <v>19.899999999999999</v>
      </c>
      <c r="C365">
        <v>0</v>
      </c>
      <c r="D365">
        <v>8.4</v>
      </c>
      <c r="E365">
        <v>5.3</v>
      </c>
      <c r="F365">
        <v>43</v>
      </c>
      <c r="G365" t="s">
        <v>21</v>
      </c>
      <c r="H365" t="s">
        <v>21</v>
      </c>
      <c r="I365">
        <v>11</v>
      </c>
      <c r="J365">
        <v>9</v>
      </c>
      <c r="K365">
        <v>63</v>
      </c>
      <c r="L365">
        <v>47</v>
      </c>
      <c r="M365">
        <v>1024</v>
      </c>
      <c r="N365">
        <v>1022.8</v>
      </c>
      <c r="O365">
        <v>3</v>
      </c>
      <c r="P365">
        <v>18.3</v>
      </c>
      <c r="Q365" t="s">
        <v>19</v>
      </c>
      <c r="S365">
        <v>20</v>
      </c>
      <c r="T365">
        <v>32</v>
      </c>
      <c r="U365">
        <v>5.66</v>
      </c>
      <c r="W365">
        <f t="shared" si="51"/>
        <v>11</v>
      </c>
      <c r="X365">
        <f t="shared" si="52"/>
        <v>32.5</v>
      </c>
      <c r="Y365">
        <f t="shared" si="53"/>
        <v>25.3</v>
      </c>
      <c r="Z365">
        <f t="shared" si="54"/>
        <v>47</v>
      </c>
      <c r="AA365">
        <f t="shared" si="55"/>
        <v>3</v>
      </c>
      <c r="AB365">
        <f t="shared" si="56"/>
        <v>1</v>
      </c>
      <c r="AC365" t="str">
        <f t="shared" si="57"/>
        <v>N</v>
      </c>
      <c r="AD365" t="str">
        <f t="shared" si="58"/>
        <v>E</v>
      </c>
      <c r="AE365">
        <f t="shared" si="59"/>
        <v>3</v>
      </c>
    </row>
    <row r="366" spans="1:31" x14ac:dyDescent="0.25">
      <c r="A366">
        <v>12.5</v>
      </c>
      <c r="B366">
        <v>26.9</v>
      </c>
      <c r="C366">
        <v>0</v>
      </c>
      <c r="D366">
        <v>5</v>
      </c>
      <c r="E366">
        <v>7.1</v>
      </c>
      <c r="F366">
        <v>46</v>
      </c>
      <c r="G366" t="s">
        <v>34</v>
      </c>
      <c r="H366" t="s">
        <v>26</v>
      </c>
      <c r="I366">
        <v>6</v>
      </c>
      <c r="J366">
        <v>28</v>
      </c>
      <c r="K366">
        <v>69</v>
      </c>
      <c r="L366">
        <v>39</v>
      </c>
      <c r="M366">
        <v>1021</v>
      </c>
      <c r="N366">
        <v>1016.2</v>
      </c>
      <c r="O366">
        <v>6</v>
      </c>
      <c r="P366">
        <v>25.9</v>
      </c>
      <c r="Q366" t="s">
        <v>19</v>
      </c>
      <c r="S366">
        <v>27</v>
      </c>
      <c r="T366">
        <v>31.953090617340916</v>
      </c>
      <c r="U366">
        <v>5.65</v>
      </c>
      <c r="W366">
        <f t="shared" si="51"/>
        <v>28</v>
      </c>
      <c r="X366">
        <f t="shared" si="52"/>
        <v>35.5</v>
      </c>
      <c r="Y366">
        <f t="shared" si="53"/>
        <v>41.1</v>
      </c>
      <c r="Z366">
        <f t="shared" si="54"/>
        <v>39</v>
      </c>
      <c r="AA366">
        <f t="shared" si="55"/>
        <v>2</v>
      </c>
      <c r="AB366">
        <f t="shared" si="56"/>
        <v>1</v>
      </c>
      <c r="AC366" t="str">
        <f t="shared" si="57"/>
        <v>N</v>
      </c>
      <c r="AD366" t="str">
        <f t="shared" si="58"/>
        <v>W</v>
      </c>
      <c r="AE366">
        <f t="shared" si="59"/>
        <v>3</v>
      </c>
    </row>
    <row r="367" spans="1:31" x14ac:dyDescent="0.25">
      <c r="A367">
        <v>12.3</v>
      </c>
      <c r="B367">
        <v>30.2</v>
      </c>
      <c r="C367">
        <v>0</v>
      </c>
      <c r="D367">
        <v>6</v>
      </c>
      <c r="E367">
        <v>12.6</v>
      </c>
      <c r="F367">
        <v>78</v>
      </c>
      <c r="G367" t="s">
        <v>17</v>
      </c>
      <c r="H367" t="s">
        <v>26</v>
      </c>
      <c r="I367">
        <v>31</v>
      </c>
      <c r="J367">
        <v>35</v>
      </c>
      <c r="K367">
        <v>43</v>
      </c>
      <c r="L367">
        <v>13</v>
      </c>
      <c r="M367">
        <v>1009.6</v>
      </c>
      <c r="N367">
        <v>1009.2</v>
      </c>
      <c r="O367">
        <v>1</v>
      </c>
      <c r="P367">
        <v>28.6</v>
      </c>
      <c r="Q367" t="s">
        <v>19</v>
      </c>
      <c r="S367">
        <v>30</v>
      </c>
      <c r="T367">
        <v>31.7742033731768</v>
      </c>
      <c r="U367">
        <v>5.64</v>
      </c>
      <c r="W367">
        <f t="shared" si="51"/>
        <v>35</v>
      </c>
      <c r="X367">
        <f t="shared" si="52"/>
        <v>30.5</v>
      </c>
      <c r="Y367">
        <f t="shared" si="53"/>
        <v>78.599999999999994</v>
      </c>
      <c r="Z367">
        <f t="shared" si="54"/>
        <v>13</v>
      </c>
      <c r="AA367">
        <f t="shared" si="55"/>
        <v>1</v>
      </c>
      <c r="AB367">
        <f t="shared" si="56"/>
        <v>1</v>
      </c>
      <c r="AC367" t="str">
        <f t="shared" si="57"/>
        <v>N</v>
      </c>
      <c r="AD367" t="str">
        <f t="shared" si="58"/>
        <v>W</v>
      </c>
      <c r="AE367">
        <f t="shared" si="59"/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2026-06-01T04:59:46Z</dcterms:created>
  <dcterms:modified xsi:type="dcterms:W3CDTF">2026-06-02T07:07:11Z</dcterms:modified>
</cp:coreProperties>
</file>