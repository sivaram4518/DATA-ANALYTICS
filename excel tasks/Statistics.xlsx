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13_ncr:1_{52891D60-190F-41D4-AC94-876B7A536F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tendance_Single" sheetId="1" r:id="rId1"/>
    <sheet name="Sheet3" sheetId="4" r:id="rId2"/>
    <sheet name="Sheet2" sheetId="3" r:id="rId3"/>
    <sheet name="Sheet1" sheetId="2" r:id="rId4"/>
  </sheets>
  <definedNames>
    <definedName name="_xlnm._FilterDatabase" localSheetId="0" hidden="1">Attendance_Single!$Z$1:$AH$11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W57" i="1" l="1"/>
  <c r="CV57" i="1"/>
  <c r="CT56" i="1"/>
  <c r="DD25" i="1" l="1"/>
  <c r="DD27" i="1" s="1"/>
  <c r="DD30" i="1" s="1"/>
  <c r="CY29" i="1"/>
  <c r="DD4" i="1"/>
  <c r="DD5" i="1"/>
  <c r="DD6" i="1"/>
  <c r="DD7" i="1"/>
  <c r="DD8" i="1"/>
  <c r="DD9" i="1"/>
  <c r="DD10" i="1"/>
  <c r="DD11" i="1"/>
  <c r="DD12" i="1"/>
  <c r="DD13" i="1"/>
  <c r="DD14" i="1"/>
  <c r="DD3" i="1"/>
  <c r="CW31" i="1"/>
  <c r="CW32" i="1"/>
  <c r="CW33" i="1"/>
  <c r="CW23" i="1"/>
  <c r="CW24" i="1"/>
  <c r="CW25" i="1"/>
  <c r="CW26" i="1"/>
  <c r="CW27" i="1"/>
  <c r="CW28" i="1"/>
  <c r="CW29" i="1"/>
  <c r="CW30" i="1"/>
  <c r="CW22" i="1"/>
  <c r="DI4" i="1"/>
  <c r="DI5" i="1"/>
  <c r="DI6" i="1"/>
  <c r="DI7" i="1"/>
  <c r="DI8" i="1"/>
  <c r="DI9" i="1"/>
  <c r="DI10" i="1"/>
  <c r="DI11" i="1"/>
  <c r="DI12" i="1"/>
  <c r="DI13" i="1"/>
  <c r="DI14" i="1"/>
  <c r="DI3" i="1"/>
  <c r="CU25" i="1"/>
  <c r="CU24" i="1"/>
  <c r="CU23" i="1"/>
  <c r="CU22" i="1"/>
  <c r="CU18" i="1"/>
  <c r="CV13" i="1" s="1"/>
  <c r="CY13" i="1" s="1"/>
  <c r="CT18" i="1"/>
  <c r="CU10" i="1" s="1"/>
  <c r="CX10" i="1" s="1"/>
  <c r="CN12" i="1"/>
  <c r="CN9" i="1"/>
  <c r="CN2" i="1"/>
  <c r="CJ10" i="1"/>
  <c r="CI10" i="1"/>
  <c r="CI12" i="1" s="1"/>
  <c r="CJ9" i="1"/>
  <c r="CI9" i="1"/>
  <c r="CI11" i="1" s="1"/>
  <c r="CF6" i="1"/>
  <c r="CF3" i="1"/>
  <c r="BZ7" i="1"/>
  <c r="BZ4" i="1"/>
  <c r="BV2" i="1" a="1"/>
  <c r="BV2" i="1" s="1"/>
  <c r="BQ4" i="1"/>
  <c r="BM2" i="1" a="1"/>
  <c r="BM2" i="1" s="1"/>
  <c r="BJ3" i="1"/>
  <c r="BI3" i="1"/>
  <c r="BI6" i="1"/>
  <c r="BG2" i="1" a="1"/>
  <c r="BG2" i="1" s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2" i="1"/>
  <c r="AZ2" i="1" a="1"/>
  <c r="AZ2" i="1" s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2" i="1"/>
  <c r="AX4" i="1"/>
  <c r="AX10" i="1" s="1"/>
  <c r="AX7" i="1"/>
  <c r="AX13" i="1" s="1"/>
  <c r="AV2" i="1" a="1"/>
  <c r="AV2" i="1" s="1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2" i="1"/>
  <c r="AJ3" i="1"/>
  <c r="AJ4" i="1"/>
  <c r="AJ5" i="1"/>
  <c r="AJ6" i="1"/>
  <c r="AJ8" i="1"/>
  <c r="AJ9" i="1"/>
  <c r="AJ10" i="1"/>
  <c r="AJ11" i="1"/>
  <c r="AJ2" i="1"/>
  <c r="AH2" i="1" a="1"/>
  <c r="AH2" i="1" s="1"/>
  <c r="AG3" i="1"/>
  <c r="AG4" i="1"/>
  <c r="AG5" i="1"/>
  <c r="AG6" i="1"/>
  <c r="AG7" i="1"/>
  <c r="AG8" i="1"/>
  <c r="AG9" i="1"/>
  <c r="AG10" i="1"/>
  <c r="AG11" i="1"/>
  <c r="AG2" i="1"/>
  <c r="AF2" i="1" a="1"/>
  <c r="AF2" i="1" s="1"/>
  <c r="U14" i="1"/>
  <c r="U13" i="1"/>
  <c r="U12" i="1"/>
  <c r="U11" i="1"/>
  <c r="U10" i="1"/>
  <c r="U9" i="1"/>
  <c r="U8" i="1"/>
  <c r="U7" i="1"/>
  <c r="U6" i="1"/>
  <c r="U5" i="1"/>
  <c r="U4" i="1"/>
  <c r="U3" i="1"/>
  <c r="AS7" i="1" l="1"/>
  <c r="AT7" i="1" s="1"/>
  <c r="AS4" i="1"/>
  <c r="AT4" i="1" s="1"/>
  <c r="AS6" i="1"/>
  <c r="AT6" i="1" s="1"/>
  <c r="AS2" i="1"/>
  <c r="AT2" i="1" s="1"/>
  <c r="BJ6" i="1"/>
  <c r="CU7" i="1"/>
  <c r="CX7" i="1" s="1"/>
  <c r="CU5" i="1"/>
  <c r="CX5" i="1" s="1"/>
  <c r="CU9" i="1"/>
  <c r="CX9" i="1" s="1"/>
  <c r="BE3" i="1"/>
  <c r="CV11" i="1"/>
  <c r="CY11" i="1" s="1"/>
  <c r="AS3" i="1"/>
  <c r="AT3" i="1" s="1"/>
  <c r="CU14" i="1"/>
  <c r="CX14" i="1" s="1"/>
  <c r="CU11" i="1"/>
  <c r="CU12" i="1"/>
  <c r="CU13" i="1"/>
  <c r="CV2" i="1"/>
  <c r="CY2" i="1" s="1"/>
  <c r="CV3" i="1"/>
  <c r="CY3" i="1" s="1"/>
  <c r="CV4" i="1"/>
  <c r="CY4" i="1" s="1"/>
  <c r="CV5" i="1"/>
  <c r="CV6" i="1"/>
  <c r="CY6" i="1" s="1"/>
  <c r="CV7" i="1"/>
  <c r="CV8" i="1"/>
  <c r="CY8" i="1" s="1"/>
  <c r="CV9" i="1"/>
  <c r="CV10" i="1"/>
  <c r="CU3" i="1"/>
  <c r="CX3" i="1" s="1"/>
  <c r="CV14" i="1"/>
  <c r="AS5" i="1"/>
  <c r="AT5" i="1" s="1"/>
  <c r="CV12" i="1"/>
  <c r="CY12" i="1" s="1"/>
  <c r="CU2" i="1"/>
  <c r="CX2" i="1" s="1"/>
  <c r="CU4" i="1"/>
  <c r="CX4" i="1" s="1"/>
  <c r="CU6" i="1"/>
  <c r="CX6" i="1" s="1"/>
  <c r="CU8" i="1"/>
  <c r="CX8" i="1" s="1"/>
  <c r="CI13" i="1"/>
  <c r="CI15" i="1"/>
  <c r="BP7" i="1"/>
  <c r="BP4" i="1"/>
  <c r="BS4" i="1"/>
  <c r="CW14" i="1" l="1"/>
  <c r="CY14" i="1"/>
  <c r="CW10" i="1"/>
  <c r="CY10" i="1"/>
  <c r="CW9" i="1"/>
  <c r="CY9" i="1"/>
  <c r="CW7" i="1"/>
  <c r="CY7" i="1"/>
  <c r="CW5" i="1"/>
  <c r="CY5" i="1"/>
  <c r="CY17" i="1"/>
  <c r="CY18" i="1" s="1"/>
  <c r="CW11" i="1"/>
  <c r="CX11" i="1"/>
  <c r="CW13" i="1"/>
  <c r="CX13" i="1"/>
  <c r="CW12" i="1"/>
  <c r="CX12" i="1"/>
  <c r="CW8" i="1"/>
  <c r="CW6" i="1"/>
  <c r="CW4" i="1"/>
  <c r="CW2" i="1"/>
  <c r="CW3" i="1"/>
  <c r="BS6" i="1"/>
  <c r="CX17" i="1" l="1"/>
  <c r="CX18" i="1" s="1"/>
  <c r="CW17" i="1"/>
  <c r="CY1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<sst xmlns="http://schemas.openxmlformats.org/spreadsheetml/2006/main" count="6909" uniqueCount="729">
  <si>
    <t>AttendanceID</t>
  </si>
  <si>
    <t>EmployeeID</t>
  </si>
  <si>
    <t>EmployeeName</t>
  </si>
  <si>
    <t>Gender</t>
  </si>
  <si>
    <t>Department</t>
  </si>
  <si>
    <t>Location</t>
  </si>
  <si>
    <t>Date</t>
  </si>
  <si>
    <t>Year</t>
  </si>
  <si>
    <t>Month</t>
  </si>
  <si>
    <t>MonthName</t>
  </si>
  <si>
    <t>Quarter</t>
  </si>
  <si>
    <t>WeekDay</t>
  </si>
  <si>
    <t>IsWeekend</t>
  </si>
  <si>
    <t>ShiftHours</t>
  </si>
  <si>
    <t>Present</t>
  </si>
  <si>
    <t>OvertimeHours</t>
  </si>
  <si>
    <t>PerformanceScore</t>
  </si>
  <si>
    <t>TasksCompleted</t>
  </si>
  <si>
    <t>E007</t>
  </si>
  <si>
    <t>Vikram</t>
  </si>
  <si>
    <t>M</t>
  </si>
  <si>
    <t>Sales</t>
  </si>
  <si>
    <t>Bangalore</t>
  </si>
  <si>
    <t>2025-09-22</t>
  </si>
  <si>
    <t>Sep</t>
  </si>
  <si>
    <t>Q3</t>
  </si>
  <si>
    <t>Monday</t>
  </si>
  <si>
    <t>E003</t>
  </si>
  <si>
    <t>Rohan</t>
  </si>
  <si>
    <t>Operations</t>
  </si>
  <si>
    <t>Mysore</t>
  </si>
  <si>
    <t>2025-07-24</t>
  </si>
  <si>
    <t>Jul</t>
  </si>
  <si>
    <t>Thursday</t>
  </si>
  <si>
    <t>E004</t>
  </si>
  <si>
    <t>Ananya</t>
  </si>
  <si>
    <t>F</t>
  </si>
  <si>
    <t>IT</t>
  </si>
  <si>
    <t>Shimoga</t>
  </si>
  <si>
    <t>2024-03-11</t>
  </si>
  <si>
    <t>Mar</t>
  </si>
  <si>
    <t>Q1</t>
  </si>
  <si>
    <t>E002</t>
  </si>
  <si>
    <t>Diya</t>
  </si>
  <si>
    <t>2024-03-10</t>
  </si>
  <si>
    <t>Sunday</t>
  </si>
  <si>
    <t>2025-05-19</t>
  </si>
  <si>
    <t>May</t>
  </si>
  <si>
    <t>Q2</t>
  </si>
  <si>
    <t>Finance</t>
  </si>
  <si>
    <t>2024-12-21</t>
  </si>
  <si>
    <t>Dec</t>
  </si>
  <si>
    <t>Q4</t>
  </si>
  <si>
    <t>Saturday</t>
  </si>
  <si>
    <t>HR</t>
  </si>
  <si>
    <t>2024-12-28</t>
  </si>
  <si>
    <t>2024-05-02</t>
  </si>
  <si>
    <t>E006</t>
  </si>
  <si>
    <t>Meera</t>
  </si>
  <si>
    <t>Mangalore</t>
  </si>
  <si>
    <t>2025-07-23</t>
  </si>
  <si>
    <t>Wednesday</t>
  </si>
  <si>
    <t>E001</t>
  </si>
  <si>
    <t>Aarav</t>
  </si>
  <si>
    <t>2025-12-07</t>
  </si>
  <si>
    <t>E008</t>
  </si>
  <si>
    <t>Priya</t>
  </si>
  <si>
    <t>2025-01-01</t>
  </si>
  <si>
    <t>Jan</t>
  </si>
  <si>
    <t>E010</t>
  </si>
  <si>
    <t>Nidhi</t>
  </si>
  <si>
    <t>Hubli</t>
  </si>
  <si>
    <t>2025-12-31</t>
  </si>
  <si>
    <t>2024-11-24</t>
  </si>
  <si>
    <t>Nov</t>
  </si>
  <si>
    <t>2025-06-27</t>
  </si>
  <si>
    <t>Jun</t>
  </si>
  <si>
    <t>Friday</t>
  </si>
  <si>
    <t>2024-06-12</t>
  </si>
  <si>
    <t>E009</t>
  </si>
  <si>
    <t>Sohan</t>
  </si>
  <si>
    <t>Davangere</t>
  </si>
  <si>
    <t>2024-01-10</t>
  </si>
  <si>
    <t>2024-02-20</t>
  </si>
  <si>
    <t>Feb</t>
  </si>
  <si>
    <t>Tuesday</t>
  </si>
  <si>
    <t>2025-03-15</t>
  </si>
  <si>
    <t>2024-06-24</t>
  </si>
  <si>
    <t>2025-04-06</t>
  </si>
  <si>
    <t>Apr</t>
  </si>
  <si>
    <t>2024-06-06</t>
  </si>
  <si>
    <t>2025-06-21</t>
  </si>
  <si>
    <t>2024-09-24</t>
  </si>
  <si>
    <t>2024-03-30</t>
  </si>
  <si>
    <t>2024-09-10</t>
  </si>
  <si>
    <t>2025-07-21</t>
  </si>
  <si>
    <t>2025-12-22</t>
  </si>
  <si>
    <t>2025-05-02</t>
  </si>
  <si>
    <t>2024-01-17</t>
  </si>
  <si>
    <t>2025-06-16</t>
  </si>
  <si>
    <t>2025-05-22</t>
  </si>
  <si>
    <t>2024-09-25</t>
  </si>
  <si>
    <t>2024-01-20</t>
  </si>
  <si>
    <t>2024-07-14</t>
  </si>
  <si>
    <t>2024-10-17</t>
  </si>
  <si>
    <t>Oct</t>
  </si>
  <si>
    <t>2025-08-10</t>
  </si>
  <si>
    <t>Aug</t>
  </si>
  <si>
    <t>2025-10-11</t>
  </si>
  <si>
    <t>2024-08-27</t>
  </si>
  <si>
    <t>2024-03-08</t>
  </si>
  <si>
    <t>2025-11-12</t>
  </si>
  <si>
    <t>2025-06-25</t>
  </si>
  <si>
    <t>2025-06-10</t>
  </si>
  <si>
    <t>2025-06-15</t>
  </si>
  <si>
    <t>2025-05-15</t>
  </si>
  <si>
    <t>2025-02-11</t>
  </si>
  <si>
    <t>2025-09-24</t>
  </si>
  <si>
    <t>2024-03-24</t>
  </si>
  <si>
    <t>2025-04-02</t>
  </si>
  <si>
    <t>2025-12-12</t>
  </si>
  <si>
    <t>2025-05-06</t>
  </si>
  <si>
    <t>E005</t>
  </si>
  <si>
    <t>Kiran</t>
  </si>
  <si>
    <t>2025-03-04</t>
  </si>
  <si>
    <t>2025-08-01</t>
  </si>
  <si>
    <t>2024-10-30</t>
  </si>
  <si>
    <t>2024-03-22</t>
  </si>
  <si>
    <t>2024-09-26</t>
  </si>
  <si>
    <t>2025-03-09</t>
  </si>
  <si>
    <t>2025-02-08</t>
  </si>
  <si>
    <t>2025-11-02</t>
  </si>
  <si>
    <t>2024-01-04</t>
  </si>
  <si>
    <t>2024-10-16</t>
  </si>
  <si>
    <t>2025-03-24</t>
  </si>
  <si>
    <t>2024-12-02</t>
  </si>
  <si>
    <t>2024-12-08</t>
  </si>
  <si>
    <t>2024-05-07</t>
  </si>
  <si>
    <t>2025-04-28</t>
  </si>
  <si>
    <t>2024-03-09</t>
  </si>
  <si>
    <t>2025-08-05</t>
  </si>
  <si>
    <t>2025-07-30</t>
  </si>
  <si>
    <t>2025-05-08</t>
  </si>
  <si>
    <t>2025-08-27</t>
  </si>
  <si>
    <t>2025-06-23</t>
  </si>
  <si>
    <t>2025-08-04</t>
  </si>
  <si>
    <t>2025-05-16</t>
  </si>
  <si>
    <t>2025-12-04</t>
  </si>
  <si>
    <t>2025-05-31</t>
  </si>
  <si>
    <t>2024-03-07</t>
  </si>
  <si>
    <t>2025-05-05</t>
  </si>
  <si>
    <t>2024-11-03</t>
  </si>
  <si>
    <t>2025-03-29</t>
  </si>
  <si>
    <t>2024-09-03</t>
  </si>
  <si>
    <t>2024-09-22</t>
  </si>
  <si>
    <t>2024-05-06</t>
  </si>
  <si>
    <t>2025-07-02</t>
  </si>
  <si>
    <t>2024-03-16</t>
  </si>
  <si>
    <t>2024-12-04</t>
  </si>
  <si>
    <t>2024-05-15</t>
  </si>
  <si>
    <t>2025-10-19</t>
  </si>
  <si>
    <t>2025-01-06</t>
  </si>
  <si>
    <t>2025-01-08</t>
  </si>
  <si>
    <t>2025-03-27</t>
  </si>
  <si>
    <t>2025-04-15</t>
  </si>
  <si>
    <t>2025-04-20</t>
  </si>
  <si>
    <t>2024-09-09</t>
  </si>
  <si>
    <t>2024-04-22</t>
  </si>
  <si>
    <t>2025-02-26</t>
  </si>
  <si>
    <t>2024-11-28</t>
  </si>
  <si>
    <t>2025-09-13</t>
  </si>
  <si>
    <t>2024-08-17</t>
  </si>
  <si>
    <t>2024-04-15</t>
  </si>
  <si>
    <t>2025-07-16</t>
  </si>
  <si>
    <t>2024-05-09</t>
  </si>
  <si>
    <t>2025-10-08</t>
  </si>
  <si>
    <t>2025-02-05</t>
  </si>
  <si>
    <t>2024-11-20</t>
  </si>
  <si>
    <t>2024-01-30</t>
  </si>
  <si>
    <t>2025-10-17</t>
  </si>
  <si>
    <t>2024-08-11</t>
  </si>
  <si>
    <t>2025-06-04</t>
  </si>
  <si>
    <t>2025-07-03</t>
  </si>
  <si>
    <t>2024-02-07</t>
  </si>
  <si>
    <t>2025-11-17</t>
  </si>
  <si>
    <t>2025-11-18</t>
  </si>
  <si>
    <t>2024-06-13</t>
  </si>
  <si>
    <t>2025-12-17</t>
  </si>
  <si>
    <t>2025-04-08</t>
  </si>
  <si>
    <t>2025-06-24</t>
  </si>
  <si>
    <t>2025-10-28</t>
  </si>
  <si>
    <t>2024-04-19</t>
  </si>
  <si>
    <t>2024-02-12</t>
  </si>
  <si>
    <t>2025-07-12</t>
  </si>
  <si>
    <t>2025-07-09</t>
  </si>
  <si>
    <t>2025-01-23</t>
  </si>
  <si>
    <t>2024-06-28</t>
  </si>
  <si>
    <t>2024-06-15</t>
  </si>
  <si>
    <t>2025-06-28</t>
  </si>
  <si>
    <t>2025-04-09</t>
  </si>
  <si>
    <t>2025-09-23</t>
  </si>
  <si>
    <t>2025-11-07</t>
  </si>
  <si>
    <t>2025-05-30</t>
  </si>
  <si>
    <t>2025-11-14</t>
  </si>
  <si>
    <t>2024-09-08</t>
  </si>
  <si>
    <t>2025-11-13</t>
  </si>
  <si>
    <t>2024-08-05</t>
  </si>
  <si>
    <t>2024-08-24</t>
  </si>
  <si>
    <t>2024-12-14</t>
  </si>
  <si>
    <t>2025-12-05</t>
  </si>
  <si>
    <t>2025-04-26</t>
  </si>
  <si>
    <t>2025-09-29</t>
  </si>
  <si>
    <t>2024-09-14</t>
  </si>
  <si>
    <t>2025-06-01</t>
  </si>
  <si>
    <t>2025-10-15</t>
  </si>
  <si>
    <t>2024-02-15</t>
  </si>
  <si>
    <t>2025-08-22</t>
  </si>
  <si>
    <t>2025-01-10</t>
  </si>
  <si>
    <t>2024-08-09</t>
  </si>
  <si>
    <t>2024-02-01</t>
  </si>
  <si>
    <t>2025-12-15</t>
  </si>
  <si>
    <t>2024-05-08</t>
  </si>
  <si>
    <t>2024-05-16</t>
  </si>
  <si>
    <t>2024-10-14</t>
  </si>
  <si>
    <t>2025-07-10</t>
  </si>
  <si>
    <t>2024-04-06</t>
  </si>
  <si>
    <t>2025-11-03</t>
  </si>
  <si>
    <t>2024-07-20</t>
  </si>
  <si>
    <t>2024-06-01</t>
  </si>
  <si>
    <t>2024-12-12</t>
  </si>
  <si>
    <t>2025-07-18</t>
  </si>
  <si>
    <t>2024-10-23</t>
  </si>
  <si>
    <t>2025-08-02</t>
  </si>
  <si>
    <t>2024-07-22</t>
  </si>
  <si>
    <t>2025-07-06</t>
  </si>
  <si>
    <t>2025-06-18</t>
  </si>
  <si>
    <t>2025-04-12</t>
  </si>
  <si>
    <t>2025-11-06</t>
  </si>
  <si>
    <t>2024-08-06</t>
  </si>
  <si>
    <t>2024-09-21</t>
  </si>
  <si>
    <t>2025-05-29</t>
  </si>
  <si>
    <t>2024-07-03</t>
  </si>
  <si>
    <t>2025-08-26</t>
  </si>
  <si>
    <t>2025-09-14</t>
  </si>
  <si>
    <t>2025-03-07</t>
  </si>
  <si>
    <t>2024-10-01</t>
  </si>
  <si>
    <t>2025-02-16</t>
  </si>
  <si>
    <t>2025-08-14</t>
  </si>
  <si>
    <t>2024-01-09</t>
  </si>
  <si>
    <t>2024-10-10</t>
  </si>
  <si>
    <t>2024-01-18</t>
  </si>
  <si>
    <t>2024-04-16</t>
  </si>
  <si>
    <t>2025-01-29</t>
  </si>
  <si>
    <t>2024-05-17</t>
  </si>
  <si>
    <t>2024-01-16</t>
  </si>
  <si>
    <t>2025-11-25</t>
  </si>
  <si>
    <t>2024-06-03</t>
  </si>
  <si>
    <t>2024-12-11</t>
  </si>
  <si>
    <t>2024-02-27</t>
  </si>
  <si>
    <t>2025-06-17</t>
  </si>
  <si>
    <t>2024-12-17</t>
  </si>
  <si>
    <t>2025-05-18</t>
  </si>
  <si>
    <t>2025-06-07</t>
  </si>
  <si>
    <t>2024-05-05</t>
  </si>
  <si>
    <t>2024-06-14</t>
  </si>
  <si>
    <t>2025-03-05</t>
  </si>
  <si>
    <t>2024-07-05</t>
  </si>
  <si>
    <t>2024-11-05</t>
  </si>
  <si>
    <t>2025-03-17</t>
  </si>
  <si>
    <t>2025-01-11</t>
  </si>
  <si>
    <t>2025-10-04</t>
  </si>
  <si>
    <t>2025-12-18</t>
  </si>
  <si>
    <t>2024-05-23</t>
  </si>
  <si>
    <t>2025-02-20</t>
  </si>
  <si>
    <t>2025-04-23</t>
  </si>
  <si>
    <t>2025-06-22</t>
  </si>
  <si>
    <t>2024-01-01</t>
  </si>
  <si>
    <t>2024-05-30</t>
  </si>
  <si>
    <t>2025-04-04</t>
  </si>
  <si>
    <t>2025-09-01</t>
  </si>
  <si>
    <t>2025-03-30</t>
  </si>
  <si>
    <t>2024-01-19</t>
  </si>
  <si>
    <t>2024-12-16</t>
  </si>
  <si>
    <t>2024-11-07</t>
  </si>
  <si>
    <t>2024-01-23</t>
  </si>
  <si>
    <t>2025-10-18</t>
  </si>
  <si>
    <t>2025-08-03</t>
  </si>
  <si>
    <t>2024-11-19</t>
  </si>
  <si>
    <t>2024-02-23</t>
  </si>
  <si>
    <t>2025-12-25</t>
  </si>
  <si>
    <t>2024-08-21</t>
  </si>
  <si>
    <t>2024-03-28</t>
  </si>
  <si>
    <t>2024-12-10</t>
  </si>
  <si>
    <t>2024-05-11</t>
  </si>
  <si>
    <t>2024-12-01</t>
  </si>
  <si>
    <t>2025-10-30</t>
  </si>
  <si>
    <t>2025-10-24</t>
  </si>
  <si>
    <t>2024-05-04</t>
  </si>
  <si>
    <t>2024-02-26</t>
  </si>
  <si>
    <t>2024-09-04</t>
  </si>
  <si>
    <t>2024-05-29</t>
  </si>
  <si>
    <t>2025-01-14</t>
  </si>
  <si>
    <t>2024-11-15</t>
  </si>
  <si>
    <t>2025-12-19</t>
  </si>
  <si>
    <t>2025-03-23</t>
  </si>
  <si>
    <t>2024-04-09</t>
  </si>
  <si>
    <t>2024-07-09</t>
  </si>
  <si>
    <t>2024-04-17</t>
  </si>
  <si>
    <t>2025-06-30</t>
  </si>
  <si>
    <t>2024-07-21</t>
  </si>
  <si>
    <t>2024-07-07</t>
  </si>
  <si>
    <t>2024-02-04</t>
  </si>
  <si>
    <t>2025-04-14</t>
  </si>
  <si>
    <t>2025-11-09</t>
  </si>
  <si>
    <t>2024-08-30</t>
  </si>
  <si>
    <t>2024-07-17</t>
  </si>
  <si>
    <t>2024-05-13</t>
  </si>
  <si>
    <t>2025-02-18</t>
  </si>
  <si>
    <t>2025-08-07</t>
  </si>
  <si>
    <t>2025-04-25</t>
  </si>
  <si>
    <t>2025-02-12</t>
  </si>
  <si>
    <t>2025-01-05</t>
  </si>
  <si>
    <t>2025-11-08</t>
  </si>
  <si>
    <t>2024-10-24</t>
  </si>
  <si>
    <t>2024-03-23</t>
  </si>
  <si>
    <t>2025-12-13</t>
  </si>
  <si>
    <t>2024-11-01</t>
  </si>
  <si>
    <t>2025-02-15</t>
  </si>
  <si>
    <t>2025-12-21</t>
  </si>
  <si>
    <t>2025-07-15</t>
  </si>
  <si>
    <t>2024-11-10</t>
  </si>
  <si>
    <t>2024-11-26</t>
  </si>
  <si>
    <t>2025-01-26</t>
  </si>
  <si>
    <t>2025-06-03</t>
  </si>
  <si>
    <t>2025-07-22</t>
  </si>
  <si>
    <t>2025-08-08</t>
  </si>
  <si>
    <t>2025-10-20</t>
  </si>
  <si>
    <t>2025-10-07</t>
  </si>
  <si>
    <t>2024-06-16</t>
  </si>
  <si>
    <t>2024-02-16</t>
  </si>
  <si>
    <t>2025-10-13</t>
  </si>
  <si>
    <t>2024-06-30</t>
  </si>
  <si>
    <t>2024-12-29</t>
  </si>
  <si>
    <t>2024-05-01</t>
  </si>
  <si>
    <t>2024-06-02</t>
  </si>
  <si>
    <t>2025-09-18</t>
  </si>
  <si>
    <t>2024-02-28</t>
  </si>
  <si>
    <t>2025-05-28</t>
  </si>
  <si>
    <t>2025-02-06</t>
  </si>
  <si>
    <t>2025-01-03</t>
  </si>
  <si>
    <t>2024-02-18</t>
  </si>
  <si>
    <t>2025-10-10</t>
  </si>
  <si>
    <t>2025-09-02</t>
  </si>
  <si>
    <t>2025-06-02</t>
  </si>
  <si>
    <t>2025-09-19</t>
  </si>
  <si>
    <t>2024-08-25</t>
  </si>
  <si>
    <t>2025-12-29</t>
  </si>
  <si>
    <t>2024-07-25</t>
  </si>
  <si>
    <t>2024-03-15</t>
  </si>
  <si>
    <t>2025-07-13</t>
  </si>
  <si>
    <t>2025-06-20</t>
  </si>
  <si>
    <t>2025-10-16</t>
  </si>
  <si>
    <t>2024-01-11</t>
  </si>
  <si>
    <t>2024-06-22</t>
  </si>
  <si>
    <t>2024-01-24</t>
  </si>
  <si>
    <t>2025-12-27</t>
  </si>
  <si>
    <t>2025-11-19</t>
  </si>
  <si>
    <t>2024-06-04</t>
  </si>
  <si>
    <t>2025-07-28</t>
  </si>
  <si>
    <t>2024-02-21</t>
  </si>
  <si>
    <t>2025-09-26</t>
  </si>
  <si>
    <t>2025-04-16</t>
  </si>
  <si>
    <t>2025-10-12</t>
  </si>
  <si>
    <t>2024-02-02</t>
  </si>
  <si>
    <t>2024-10-27</t>
  </si>
  <si>
    <t>2024-09-29</t>
  </si>
  <si>
    <t>2025-12-23</t>
  </si>
  <si>
    <t>2024-11-04</t>
  </si>
  <si>
    <t>2025-01-17</t>
  </si>
  <si>
    <t>2024-12-18</t>
  </si>
  <si>
    <t>2025-11-24</t>
  </si>
  <si>
    <t>2024-06-05</t>
  </si>
  <si>
    <t>2024-08-28</t>
  </si>
  <si>
    <t>2024-07-29</t>
  </si>
  <si>
    <t>2025-07-17</t>
  </si>
  <si>
    <t>2024-04-27</t>
  </si>
  <si>
    <t>2024-08-16</t>
  </si>
  <si>
    <t>2025-02-07</t>
  </si>
  <si>
    <t>2024-12-07</t>
  </si>
  <si>
    <t>2024-04-14</t>
  </si>
  <si>
    <t>2024-05-22</t>
  </si>
  <si>
    <t>2025-12-30</t>
  </si>
  <si>
    <t>2024-08-20</t>
  </si>
  <si>
    <t>2024-07-08</t>
  </si>
  <si>
    <t>2025-05-14</t>
  </si>
  <si>
    <t>2024-06-18</t>
  </si>
  <si>
    <t>2025-05-25</t>
  </si>
  <si>
    <t>2025-08-18</t>
  </si>
  <si>
    <t>2024-02-10</t>
  </si>
  <si>
    <t>2025-10-06</t>
  </si>
  <si>
    <t>2024-08-29</t>
  </si>
  <si>
    <t>2025-02-14</t>
  </si>
  <si>
    <t>2024-06-25</t>
  </si>
  <si>
    <t>2025-07-01</t>
  </si>
  <si>
    <t>2025-12-03</t>
  </si>
  <si>
    <t>2025-11-20</t>
  </si>
  <si>
    <t>2024-12-05</t>
  </si>
  <si>
    <t>2025-05-09</t>
  </si>
  <si>
    <t>2025-10-22</t>
  </si>
  <si>
    <t>2024-11-11</t>
  </si>
  <si>
    <t>2024-10-29</t>
  </si>
  <si>
    <t>2025-06-05</t>
  </si>
  <si>
    <t>2025-12-06</t>
  </si>
  <si>
    <t>2024-02-29</t>
  </si>
  <si>
    <t>2024-03-04</t>
  </si>
  <si>
    <t>2024-02-08</t>
  </si>
  <si>
    <t>2024-08-02</t>
  </si>
  <si>
    <t>2024-07-30</t>
  </si>
  <si>
    <t>2025-08-12</t>
  </si>
  <si>
    <t>2024-04-28</t>
  </si>
  <si>
    <t>2025-03-13</t>
  </si>
  <si>
    <t>2025-01-30</t>
  </si>
  <si>
    <t>2025-08-09</t>
  </si>
  <si>
    <t>2024-05-10</t>
  </si>
  <si>
    <t>2024-08-31</t>
  </si>
  <si>
    <t>2025-11-23</t>
  </si>
  <si>
    <t>2024-06-08</t>
  </si>
  <si>
    <t>2025-11-27</t>
  </si>
  <si>
    <t>2024-10-31</t>
  </si>
  <si>
    <t>2024-05-26</t>
  </si>
  <si>
    <t>2024-10-08</t>
  </si>
  <si>
    <t>STDEV.P</t>
  </si>
  <si>
    <t>STDEV.S</t>
  </si>
  <si>
    <t>VAR.P</t>
  </si>
  <si>
    <t>VAR.S</t>
  </si>
  <si>
    <t>MIN</t>
  </si>
  <si>
    <t>MAX</t>
  </si>
  <si>
    <t>MEAN</t>
  </si>
  <si>
    <t>MEDIAN</t>
  </si>
  <si>
    <t>MODE</t>
  </si>
  <si>
    <t>MEAN DEVIATION</t>
  </si>
  <si>
    <t>QUARTILE.INC</t>
  </si>
  <si>
    <t>QUARTILE.EXC</t>
  </si>
  <si>
    <t>sale_id</t>
  </si>
  <si>
    <t>sale_date</t>
  </si>
  <si>
    <t>product_name</t>
  </si>
  <si>
    <t>quantity</t>
  </si>
  <si>
    <t>amount</t>
  </si>
  <si>
    <t>Laptop</t>
  </si>
  <si>
    <t>Mouse</t>
  </si>
  <si>
    <t>Keyboard</t>
  </si>
  <si>
    <t>Monitor</t>
  </si>
  <si>
    <t>Printer</t>
  </si>
  <si>
    <t>Random Sampling</t>
  </si>
  <si>
    <t>Systematic Sampling</t>
  </si>
  <si>
    <t>cluster Sampling</t>
  </si>
  <si>
    <t>Population=10</t>
  </si>
  <si>
    <t>sample= 4</t>
  </si>
  <si>
    <t>Stratified Sampling = Laptop</t>
  </si>
  <si>
    <t>Student ID</t>
  </si>
  <si>
    <t>Name</t>
  </si>
  <si>
    <t>Aarav 1</t>
  </si>
  <si>
    <t>Data Science</t>
  </si>
  <si>
    <t>Ananya 2</t>
  </si>
  <si>
    <t>Computer Science</t>
  </si>
  <si>
    <t>Rahul 3</t>
  </si>
  <si>
    <t>Electronics</t>
  </si>
  <si>
    <t>Priya 4</t>
  </si>
  <si>
    <t>Mechanical</t>
  </si>
  <si>
    <t>Kiran 5</t>
  </si>
  <si>
    <t>Civil</t>
  </si>
  <si>
    <t>Sneha 6</t>
  </si>
  <si>
    <t>Information Technology</t>
  </si>
  <si>
    <t>Arjun 7</t>
  </si>
  <si>
    <t>Meera 8</t>
  </si>
  <si>
    <t>Vikram 9</t>
  </si>
  <si>
    <t>Neha 10</t>
  </si>
  <si>
    <t>Rohan 11</t>
  </si>
  <si>
    <t>Pooja 12</t>
  </si>
  <si>
    <t>Aditya 13</t>
  </si>
  <si>
    <t>Divya 14</t>
  </si>
  <si>
    <t>Manoj 15</t>
  </si>
  <si>
    <t>Kavya 16</t>
  </si>
  <si>
    <t>Sanjay 17</t>
  </si>
  <si>
    <t>Isha 18</t>
  </si>
  <si>
    <t>Naveen 19</t>
  </si>
  <si>
    <t>Tanya 20</t>
  </si>
  <si>
    <t>Aarav 21</t>
  </si>
  <si>
    <t>Ananya 22</t>
  </si>
  <si>
    <t>Rahul 23</t>
  </si>
  <si>
    <t>Priya 24</t>
  </si>
  <si>
    <t>Kiran 25</t>
  </si>
  <si>
    <t>Sneha 26</t>
  </si>
  <si>
    <t>Arjun 27</t>
  </si>
  <si>
    <t>Meera 28</t>
  </si>
  <si>
    <t>Vikram 29</t>
  </si>
  <si>
    <t>Neha 30</t>
  </si>
  <si>
    <t>Rohan 31</t>
  </si>
  <si>
    <t>Pooja 32</t>
  </si>
  <si>
    <t>Aditya 33</t>
  </si>
  <si>
    <t>Divya 34</t>
  </si>
  <si>
    <t>Manoj 35</t>
  </si>
  <si>
    <t>Kavya 36</t>
  </si>
  <si>
    <t>Sanjay 37</t>
  </si>
  <si>
    <t>Isha 38</t>
  </si>
  <si>
    <t>Naveen 39</t>
  </si>
  <si>
    <t>Tanya 40</t>
  </si>
  <si>
    <t>Aarav 41</t>
  </si>
  <si>
    <t>Ananya 42</t>
  </si>
  <si>
    <t>Rahul 43</t>
  </si>
  <si>
    <t>Priya 44</t>
  </si>
  <si>
    <t>Kiran 45</t>
  </si>
  <si>
    <t>Sneha 46</t>
  </si>
  <si>
    <t>Arjun 47</t>
  </si>
  <si>
    <t>Meera 48</t>
  </si>
  <si>
    <t>Vikram 49</t>
  </si>
  <si>
    <t>Neha 50</t>
  </si>
  <si>
    <t>Rohan 51</t>
  </si>
  <si>
    <t>Pooja 52</t>
  </si>
  <si>
    <t>Aditya 53</t>
  </si>
  <si>
    <t>Divya 54</t>
  </si>
  <si>
    <t>Manoj 55</t>
  </si>
  <si>
    <t>Kavya 56</t>
  </si>
  <si>
    <t>Sanjay 57</t>
  </si>
  <si>
    <t>Isha 58</t>
  </si>
  <si>
    <t>Naveen 59</t>
  </si>
  <si>
    <t>Tanya 60</t>
  </si>
  <si>
    <t>Aarav 61</t>
  </si>
  <si>
    <t>Ananya 62</t>
  </si>
  <si>
    <t>Rahul 63</t>
  </si>
  <si>
    <t>Priya 64</t>
  </si>
  <si>
    <t>Kiran 65</t>
  </si>
  <si>
    <t>Sneha 66</t>
  </si>
  <si>
    <t>Arjun 67</t>
  </si>
  <si>
    <t>Meera 68</t>
  </si>
  <si>
    <t>Vikram 69</t>
  </si>
  <si>
    <t>Neha 70</t>
  </si>
  <si>
    <t>Rohan 71</t>
  </si>
  <si>
    <t>Pooja 72</t>
  </si>
  <si>
    <t>Aditya 73</t>
  </si>
  <si>
    <t>Divya 74</t>
  </si>
  <si>
    <t>Manoj 75</t>
  </si>
  <si>
    <t>Kavya 76</t>
  </si>
  <si>
    <t>Sanjay 77</t>
  </si>
  <si>
    <t>Isha 78</t>
  </si>
  <si>
    <t>Naveen 79</t>
  </si>
  <si>
    <t>Tanya 80</t>
  </si>
  <si>
    <t>Aarav 81</t>
  </si>
  <si>
    <t>Ananya 82</t>
  </si>
  <si>
    <t>Rahul 83</t>
  </si>
  <si>
    <t>Priya 84</t>
  </si>
  <si>
    <t>Kiran 85</t>
  </si>
  <si>
    <t>Sneha 86</t>
  </si>
  <si>
    <t>Arjun 87</t>
  </si>
  <si>
    <t>Meera 88</t>
  </si>
  <si>
    <t>Vikram 89</t>
  </si>
  <si>
    <t>Neha 90</t>
  </si>
  <si>
    <t>Rohan 91</t>
  </si>
  <si>
    <t>Pooja 92</t>
  </si>
  <si>
    <t>Aditya 93</t>
  </si>
  <si>
    <t>Divya 94</t>
  </si>
  <si>
    <t>Manoj 95</t>
  </si>
  <si>
    <t>Kavya 96</t>
  </si>
  <si>
    <t>Sanjay 97</t>
  </si>
  <si>
    <t>Isha 98</t>
  </si>
  <si>
    <t>Naveen 99</t>
  </si>
  <si>
    <t>Tanya 100</t>
  </si>
  <si>
    <t>Cluster Sampling</t>
  </si>
  <si>
    <t>department</t>
  </si>
  <si>
    <t>A</t>
  </si>
  <si>
    <t>B</t>
  </si>
  <si>
    <t>C</t>
  </si>
  <si>
    <t>D</t>
  </si>
  <si>
    <t>E</t>
  </si>
  <si>
    <t>stratified sampling</t>
  </si>
  <si>
    <t>TRAIL</t>
  </si>
  <si>
    <t>RESULT</t>
  </si>
  <si>
    <t>TAIL</t>
  </si>
  <si>
    <t>HEAD</t>
  </si>
  <si>
    <t>COUNT OF HEAD</t>
  </si>
  <si>
    <t>COUNT OF TAIL</t>
  </si>
  <si>
    <t>PROBABILITY OF HEAD</t>
  </si>
  <si>
    <t>PROBABILITY OF TAIL</t>
  </si>
  <si>
    <t>COIN 1</t>
  </si>
  <si>
    <t>COIN 2</t>
  </si>
  <si>
    <t>OUTCOME</t>
  </si>
  <si>
    <t>COUNT OF HT</t>
  </si>
  <si>
    <t>ROLL</t>
  </si>
  <si>
    <t>COUNT OF 3</t>
  </si>
  <si>
    <t>PROBABITLITY OF 3</t>
  </si>
  <si>
    <t>COUNT OF 4</t>
  </si>
  <si>
    <t>PROBABILITY OF 3 &amp; 4</t>
  </si>
  <si>
    <t>GENDER</t>
  </si>
  <si>
    <t>PLAY</t>
  </si>
  <si>
    <t>YES</t>
  </si>
  <si>
    <t>NO</t>
  </si>
  <si>
    <t>COUNT OF M</t>
  </si>
  <si>
    <t>COUNT OF YES</t>
  </si>
  <si>
    <t>COUNT OF M &amp; YES</t>
  </si>
  <si>
    <t>FORMULA</t>
  </si>
  <si>
    <t>DIE</t>
  </si>
  <si>
    <t>COUNT OF M &amp; 3</t>
  </si>
  <si>
    <t>PROBABILITY OF M &amp; 3</t>
  </si>
  <si>
    <t>STUDENT NAME</t>
  </si>
  <si>
    <t>MARKS</t>
  </si>
  <si>
    <t>STUDENT MARKS &gt;=85</t>
  </si>
  <si>
    <t xml:space="preserve">CUMMALATIVE PROBABILITY </t>
  </si>
  <si>
    <t>total population</t>
  </si>
  <si>
    <t>disease people</t>
  </si>
  <si>
    <t>healthy people</t>
  </si>
  <si>
    <t>test accuracy</t>
  </si>
  <si>
    <t>false positive rate</t>
  </si>
  <si>
    <t>disease/total</t>
  </si>
  <si>
    <t>healty /total</t>
  </si>
  <si>
    <t>total positive test</t>
  </si>
  <si>
    <t>probability</t>
  </si>
  <si>
    <t>x=0</t>
  </si>
  <si>
    <t>x=3</t>
  </si>
  <si>
    <t>x=5</t>
  </si>
  <si>
    <t>x=7</t>
  </si>
  <si>
    <t>poisson</t>
  </si>
  <si>
    <t>binomial</t>
  </si>
  <si>
    <t>uniform</t>
  </si>
  <si>
    <t xml:space="preserve">   </t>
  </si>
  <si>
    <t>covariance.s</t>
  </si>
  <si>
    <t>covariance.p</t>
  </si>
  <si>
    <t>X</t>
  </si>
  <si>
    <t>Y</t>
  </si>
  <si>
    <t>mean of x</t>
  </si>
  <si>
    <t>mean of y</t>
  </si>
  <si>
    <t>X-X_</t>
  </si>
  <si>
    <t>Y-Y_</t>
  </si>
  <si>
    <t>(X-X_)*(Y-Y_)</t>
  </si>
  <si>
    <t>COVARIANCE</t>
  </si>
  <si>
    <t>Column1</t>
  </si>
  <si>
    <t>BINOMIAL DISTRIBUTION</t>
  </si>
  <si>
    <t>N</t>
  </si>
  <si>
    <t>P</t>
  </si>
  <si>
    <t>Z-TEST</t>
  </si>
  <si>
    <t>Random value</t>
  </si>
  <si>
    <t>UNIFORM DISTRIBUTION</t>
  </si>
  <si>
    <t>CONTINUOUS UNIFORM</t>
  </si>
  <si>
    <t>(X-X_)^2</t>
  </si>
  <si>
    <t>VAR(X)</t>
  </si>
  <si>
    <t>(Y-Y_)^2</t>
  </si>
  <si>
    <t>VAR(Y)</t>
  </si>
  <si>
    <t>CORRELATION</t>
  </si>
  <si>
    <t>Toss No</t>
  </si>
  <si>
    <t>Result</t>
  </si>
  <si>
    <t>H</t>
  </si>
  <si>
    <t>T</t>
  </si>
  <si>
    <t>p=0.5</t>
  </si>
  <si>
    <t>$=0.05</t>
  </si>
  <si>
    <t>binomial distribution</t>
  </si>
  <si>
    <t>Decision</t>
  </si>
  <si>
    <t>count of H</t>
  </si>
  <si>
    <t>MALE</t>
  </si>
  <si>
    <t>FEMALE</t>
  </si>
  <si>
    <t>DUMMY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</si>
  <si>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</si>
  <si>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</si>
  <si>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</si>
  <si>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</si>
  <si>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</si>
  <si>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</si>
  <si>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</si>
  <si>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</si>
  <si>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</si>
  <si>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</si>
  <si>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</si>
  <si>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</si>
  <si>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ONE SAMPLE</t>
  </si>
  <si>
    <t>Column2</t>
  </si>
  <si>
    <t>Column3</t>
  </si>
  <si>
    <t>VAR(M)</t>
  </si>
  <si>
    <t>VAR(F)</t>
  </si>
  <si>
    <t>z-Test: Two Sample for Means</t>
  </si>
  <si>
    <t>Known Variance</t>
  </si>
  <si>
    <t>z</t>
  </si>
  <si>
    <t>P(Z&lt;=z) one-tail</t>
  </si>
  <si>
    <t>z Critical one-tail</t>
  </si>
  <si>
    <t>P(Z&lt;=z) two-tail</t>
  </si>
  <si>
    <t>z Critical two-tail</t>
  </si>
  <si>
    <t>Variable 1</t>
  </si>
  <si>
    <t>Variable 2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</si>
  <si>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</si>
  <si>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</si>
  <si>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</si>
  <si>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</si>
  <si>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</si>
  <si>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</si>
  <si>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</si>
  <si>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</si>
  <si>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</si>
  <si>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</si>
  <si>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P-value</t>
  </si>
  <si>
    <t>F crit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</si>
  <si>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</si>
  <si>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</si>
  <si>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</si>
  <si>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</si>
  <si>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</si>
  <si>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</si>
  <si>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</si>
  <si>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</si>
  <si>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</si>
  <si>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</si>
  <si>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</si>
  <si>
    <t>Column4</t>
  </si>
  <si>
    <t>Column5</t>
  </si>
  <si>
    <t>Column6</t>
  </si>
  <si>
    <t>SUMMARY OUTPUT</t>
  </si>
  <si>
    <t>Regression Statistics</t>
  </si>
  <si>
    <t>Multiple R</t>
  </si>
  <si>
    <t>R Square</t>
  </si>
  <si>
    <t>Adjusted R Square</t>
  </si>
  <si>
    <t>Standard Error</t>
  </si>
  <si>
    <t>Regression</t>
  </si>
  <si>
    <t>Residual</t>
  </si>
  <si>
    <t>Intercept</t>
  </si>
  <si>
    <t>Significance F</t>
  </si>
  <si>
    <t>Coefficients</t>
  </si>
  <si>
    <t>Lower 95%</t>
  </si>
  <si>
    <t>Upper 95%</t>
  </si>
  <si>
    <t>Lower 95.0%</t>
  </si>
  <si>
    <t>Upper 95.0%</t>
  </si>
  <si>
    <t>Column7</t>
  </si>
  <si>
    <t>Column8</t>
  </si>
  <si>
    <t>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</si>
</sst>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9" fontId="0" fillId="0" borderId="0" xfId="1" applyFont="1"/>
    <xf numFmtId="9" fontId="1" fillId="0" borderId="0" xfId="1" applyFont="1"/>
    <xf numFmtId="9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2" xfId="0" applyFont="1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0" fillId="0" borderId="2" xfId="0" applyBorder="1"/>
    <xf numFmtId="0" fontId="4" fillId="0" borderId="1" xfId="0" applyFont="1" applyBorder="1"/>
    <xf numFmtId="0" fontId="1" fillId="0" borderId="1" xfId="0" applyFont="1" applyBorder="1"/>
    <xf numFmtId="0" fontId="1" fillId="0" borderId="8" xfId="0" applyFont="1" applyBorder="1"/>
    <xf numFmtId="0" fontId="1" fillId="0" borderId="0" xfId="0" applyFont="1" applyAlignment="1">
      <alignment vertical="center" wrapText="1"/>
    </xf>
    <xf numFmtId="0" fontId="0" fillId="0" borderId="13" xfId="0" applyBorder="1"/>
    <xf numFmtId="0" fontId="5" fillId="0" borderId="1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15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Border="1" applyAlignment="1"/>
    <xf numFmtId="0" fontId="0" fillId="0" borderId="13" xfId="0" applyFill="1" applyBorder="1" applyAlignment="1"/>
    <xf numFmtId="0" fontId="5" fillId="0" borderId="14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Continuous"/>
    </xf>
    <xf numFmtId="0" fontId="5" fillId="0" borderId="1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83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126969-F876-4A4B-AB77-E06F2CE58EEC}" name="Table1" displayName="Table1" ref="CS1:CY19" totalsRowShown="0" headerRowDxfId="82" headerRowBorderDxfId="81" tableBorderDxfId="80" totalsRowBorderDxfId="79">
  <autoFilter ref="CS1:CY19" xr:uid="{6C126969-F876-4A4B-AB77-E06F2CE58EEC}"/>
  <tableColumns count="7">
    <tableColumn id="1" xr3:uid="{E221CD0E-7683-460A-B4C6-C4F850D9E443}" name="X" dataDxfId="78"/>
    <tableColumn id="2" xr3:uid="{B8C945F4-27CF-4363-A489-DC7C1B5FBFD9}" name="Y" dataDxfId="77"/>
    <tableColumn id="3" xr3:uid="{4DFA22E6-E3F8-44E3-9BF0-8B2D375D2A0A}" name="X-X_" dataDxfId="76"/>
    <tableColumn id="4" xr3:uid="{9DBED473-84FB-410A-B92A-B46DE5C82612}" name="Y-Y_" dataDxfId="75"/>
    <tableColumn id="5" xr3:uid="{3B66FE5A-73D0-49C9-83DA-5906A52F0386}" name="(X-X_)*(Y-Y_)" dataDxfId="74"/>
    <tableColumn id="6" xr3:uid="{4B6FE67C-3B62-47A2-95F1-57FBFAB02C86}" name="(X-X_)^2" dataDxfId="73">
      <calculatedColumnFormula>Table1[[#This Row],[X-X_]]*Table1[[#This Row],[X-X_]]</calculatedColumnFormula>
    </tableColumn>
    <tableColumn id="7" xr3:uid="{96BF50F8-BCAD-4BB4-9EC2-796712FCD3D4}" name="(Y-Y_)^2" dataDxfId="72">
      <calculatedColumnFormula>Table1[[#This Row],[Y-Y_]]*Table1[[#This Row],[Y-Y_]]</calculatedColumnFormula>
    </tableColumn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7D31FA-6877-44B9-9699-9597D96CB3EC}" name="Table2" displayName="Table2" ref="CT21:CU25" totalsRowShown="0">
  <autoFilter ref="CT21:CU25" xr:uid="{347D31FA-6877-44B9-9699-9597D96CB3EC}"/>
  <tableColumns count="2">
    <tableColumn id="1" xr3:uid="{6C6BD18C-F5FC-4D35-9CFB-6C46B34B18E2}" name="Column1" dataDxfId="71"/>
    <tableColumn id="2" xr3:uid="{5174E9A1-4FFA-44E5-804E-E3D1867933F4}" name="poisson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AB6533-1F7B-4EE8-A2CA-FE50B4E28270}" name="Table3" displayName="Table3" ref="DF2:DI14" totalsRowShown="0" tableBorderDxfId="70">
  <autoFilter ref="DF2:DI14" xr:uid="{95AB6533-1F7B-4EE8-A2CA-FE50B4E28270}"/>
  <tableColumns count="4">
    <tableColumn id="1" xr3:uid="{8335B50B-F6EA-456E-8501-C520C5F6DA68}" name="X"/>
    <tableColumn id="2" xr3:uid="{8A92DC8A-27F1-400E-A6C8-7389D3BD4C7A}" name="N"/>
    <tableColumn id="3" xr3:uid="{CFEA105B-8491-4AA5-8D87-EC75F55D6DD1}" name="P"/>
    <tableColumn id="4" xr3:uid="{683B4638-860E-4AC8-B046-0A3070715B9E}" name="BINOMIAL DISTRIBUTION">
      <calculatedColumnFormula>_xlfn.BINOM.DIST(DF3,DG3,DH3,TRUE)</calculatedColumnFormula>
    </tableColumn>
  </tableColumns>
  <tableStyleInfo name="TableStyleDark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D0DE89-6493-440E-905C-7105D3B1C4ED}" name="Table4" displayName="Table4" ref="CW21:CW33" totalsRowShown="0" tableBorderDxfId="69">
  <autoFilter ref="CW21:CW33" xr:uid="{ADD0DE89-6493-440E-905C-7105D3B1C4ED}"/>
  <tableColumns count="1">
    <tableColumn id="1" xr3:uid="{6C722620-BACA-4E75-9C0C-88C87C88D42B}" name="Z-TEST">
      <calculatedColumnFormula>(DF3-3)/4</calculatedColumnFormula>
    </tableColumn>
  </tableColumns>
  <tableStyleInfo name="TableStyleDark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0B342D-8E9E-4F75-9774-358D3D0C52D2}" name="Table5" displayName="Table5" ref="CS21:CS25" totalsRowShown="0" dataDxfId="68">
  <autoFilter ref="CS21:CS25" xr:uid="{B10B342D-8E9E-4F75-9774-358D3D0C52D2}"/>
  <tableColumns count="1">
    <tableColumn id="1" xr3:uid="{B7D674A1-2202-45A7-B372-4D68ACCC77E2}" name="N" dataDxfId="67"/>
  </tableColumns>
  <tableStyleInfo name="TableStyleDark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008336-2027-4184-9F21-58D0D2F328A9}" name="Table6" displayName="Table6" ref="DA2:DD14" totalsRowShown="0" tableBorderDxfId="66">
  <autoFilter ref="DA2:DD14" xr:uid="{95008336-2027-4184-9F21-58D0D2F328A9}"/>
  <tableColumns count="4">
    <tableColumn id="1" xr3:uid="{1A38D9B6-7449-40D3-8255-EF6A4D64AAFE}" name="Random value"/>
    <tableColumn id="2" xr3:uid="{C774F47D-A6AF-4CBB-A7BC-C908FB7BAAF9}" name="A"/>
    <tableColumn id="3" xr3:uid="{740D15A1-D538-43B5-9AA1-069EB66F1816}" name="B"/>
    <tableColumn id="4" xr3:uid="{810FBADB-C8EB-486B-9253-BDF960A2922A}" name="CONTINUOUS UNIFORM">
      <calculatedColumnFormula>DA3*(DC3-DB3)+DB3</calculatedColumnFormula>
    </tableColumn>
  </tableColumns>
  <tableStyleInfo name="TableStyleDark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F52BF67-85C6-42D4-A21A-1B90DAF61BD3}" name="Table7" displayName="Table7" ref="CY22:CZ29" totalsRowShown="0" tableBorderDxfId="65">
  <autoFilter ref="CY22:CZ29" xr:uid="{7F52BF67-85C6-42D4-A21A-1B90DAF61BD3}"/>
  <tableColumns count="2">
    <tableColumn id="1" xr3:uid="{D7587967-F40C-4DD9-AFD3-07F029901C14}" name="X"/>
    <tableColumn id="2" xr3:uid="{2CBE70BD-01C8-4DED-A1AE-459810B1FAF1}" name="Y"/>
  </tableColumns>
  <tableStyleInfo name="TableStyleDark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82CB09-C4E1-49C0-8E81-461D5171696D}" name="Table8" displayName="Table8" ref="DB21:DD31" totalsRowShown="0" headerRowDxfId="64" headerRowBorderDxfId="63" tableBorderDxfId="62" totalsRowBorderDxfId="61">
  <autoFilter ref="DB21:DD31" xr:uid="{A582CB09-C4E1-49C0-8E81-461D5171696D}"/>
  <tableColumns count="3">
    <tableColumn id="1" xr3:uid="{8248A511-9D2B-4DB9-A6AE-85F58A987453}" name="Toss No" dataDxfId="60"/>
    <tableColumn id="2" xr3:uid="{996E5A2F-7EEB-49EB-8736-6F9C280E4087}" name="Result" dataDxfId="59"/>
    <tableColumn id="3" xr3:uid="{8759B657-D403-4992-BC0E-ADC495898209}" name="Column1" dataDxfId="58"/>
  </tableColumns>
  <tableStyleInfo name="TableStyleDark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792D0CF-6FAF-4650-9740-7CDA89B27420}" name="Table9" displayName="Table9" ref="CX40:CY52" totalsRowShown="0" headerRowDxfId="57" dataDxfId="55" headerRowBorderDxfId="56" tableBorderDxfId="54" totalsRowBorderDxfId="53">
  <autoFilter ref="CX40:CY52" xr:uid="{D792D0CF-6FAF-4650-9740-7CDA89B27420}"/>
  <tableColumns count="2">
    <tableColumn id="1" xr3:uid="{EB816543-34F2-45A0-869C-65E5ED4421B2}" name="Column1" dataDxfId="52"/>
    <tableColumn id="2" xr3:uid="{62ACC661-03F8-4C3E-B940-609735B73E2E}" name="Column2" dataDxfId="51"/>
  </tableColumns>
  <tableStyleInfo name="TableStyleDark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FF41B1C-C450-4DB7-AF02-3B08707152FE}" name="Table10" displayName="Table10" ref="CT38:CV49" totalsRowShown="0" tableBorderDxfId="50">
  <autoFilter ref="CT38:CV49" xr:uid="{CFF41B1C-C450-4DB7-AF02-3B08707152FE}"/>
  <tableColumns count="3">
    <tableColumn id="1" xr3:uid="{6169A6FA-6431-404E-B5E3-7E67912103DE}" name="MALE"/>
    <tableColumn id="2" xr3:uid="{B30985ED-5B8F-4C66-9671-A02BB9BF83EC}" name="FEMALE"/>
    <tableColumn id="3" xr3:uid="{315FC0D2-734D-46AE-A683-95B15E30E443}" name="DUMMY"/>
  </tableColumns>
  <tableStyleInfo name="TableStyleDark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8EDC17F-D5C0-4DA6-8269-D594B4ECA3E0}" name="Table11" displayName="Table11" ref="DA40:DC52" totalsRowShown="0" tableBorderDxfId="49">
  <autoFilter ref="DA40:DC52" xr:uid="{E8EDC17F-D5C0-4DA6-8269-D594B4ECA3E0}"/>
  <tableColumns count="3">
    <tableColumn id="1" xr3:uid="{2F42F76E-6AC3-4C5A-B946-149B3D8DC6F7}" name="Column1"/>
    <tableColumn id="2" xr3:uid="{01A73801-A035-4399-9E38-B54515B9F995}" name="Column2"/>
    <tableColumn id="3" xr3:uid="{DF9724D7-2767-43A3-B81C-5AB2976880A7}" name="Column3"/>
  </tableColumns>
  <tableStyleInfo name="TableStyleDark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A72ED5C-01AD-4958-B30D-95ACB7A710F7}" name="Table12" displayName="Table12" ref="CT63:CV72" totalsRowShown="0" headerRowDxfId="48" dataDxfId="46" headerRowBorderDxfId="47" tableBorderDxfId="45">
  <autoFilter ref="CT63:CV72" xr:uid="{2A72ED5C-01AD-4958-B30D-95ACB7A710F7}"/>
  <tableColumns count="3">
    <tableColumn id="1" xr3:uid="{55EC73B3-BDB3-412B-8B8B-F907DBF9BFD5}" name="Column1" dataDxfId="44"/>
    <tableColumn id="2" xr3:uid="{072C8E19-3523-4276-91AD-A9D20511E82E}" name="Variable 1" dataDxfId="43"/>
    <tableColumn id="3" xr3:uid="{A791897C-A5A8-46E6-80B4-D8E20867D53C}" name="Variable 2" dataDxfId="42"/>
  </tableColumns>
  <tableStyleInfo name="TableStyleDark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0104E7F-1F31-4EAE-B7F4-C7031C90848B}" name="Table13" displayName="Table13" ref="CX62:DD73" totalsRowShown="0" dataDxfId="41" tableBorderDxfId="40">
  <autoFilter ref="CX62:DD73" xr:uid="{70104E7F-1F31-4EAE-B7F4-C7031C90848B}"/>
  <tableColumns count="7">
    <tableColumn id="1" xr3:uid="{50BD3FB8-A5DC-4551-9A92-23686F9B1010}" name="SUMMARY" dataDxfId="39"/>
    <tableColumn id="2" xr3:uid="{3EDC23CF-75CC-43B6-A070-5FBE382910A0}" name="Column1" dataDxfId="38"/>
    <tableColumn id="3" xr3:uid="{CCF6DAE8-F80C-4EEA-A0C0-800DE9A6499F}" name="Column2" dataDxfId="37"/>
    <tableColumn id="4" xr3:uid="{AE9D5B50-0CD8-4FAE-B8D9-ED7EDEC6CBB0}" name="Column3" dataDxfId="36"/>
    <tableColumn id="5" xr3:uid="{0E006BFE-0E3E-40CE-B667-9801CBAC722D}" name="Column4" dataDxfId="35"/>
    <tableColumn id="6" xr3:uid="{32450270-6F97-4DA1-A1AB-AD82BBBC8E4C}" name="Column5" dataDxfId="34"/>
    <tableColumn id="7" xr3:uid="{A112E756-3E29-41F0-BBF8-4F33337C9784}" name="Column6" dataDxfId="33"/>
  </tableColumns>
  <tableStyleInfo name="TableStyleDark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4D0E350-5AB3-4D86-8A37-D057119F8716}" name="Table14" displayName="Table14" ref="CT81:CZ102" totalsRowShown="0" dataDxfId="32" tableBorderDxfId="31">
  <autoFilter ref="CT81:CZ102" xr:uid="{B4D0E350-5AB3-4D86-8A37-D057119F8716}"/>
  <tableColumns count="7">
    <tableColumn id="1" xr3:uid="{F17E382C-CCC9-40E3-8EB9-D60EB242A3F3}" name="SUMMARY" dataDxfId="30"/>
    <tableColumn id="2" xr3:uid="{85968ADF-7B61-4A9D-A479-5BCADD07F807}" name="FEMALE" dataDxfId="29"/>
    <tableColumn id="3" xr3:uid="{0564A55D-CA4E-4778-B144-2A8B3E6D2A7B}" name="DUMMY" dataDxfId="28"/>
    <tableColumn id="4" xr3:uid="{38848020-CE65-4DA6-9CC0-ACA21E1033CC}" name="Total" dataDxfId="27"/>
    <tableColumn id="5" xr3:uid="{4FE52F6F-1E4D-4B70-B3DF-B499FCE833E1}" name="Column1" dataDxfId="26"/>
    <tableColumn id="6" xr3:uid="{FF972B85-B8B5-4E17-926B-73030ACD0C14}" name="Column2" dataDxfId="25"/>
    <tableColumn id="7" xr3:uid="{310ED194-03DF-4D9F-8C35-478199F4F0BE}" name="Column3" dataDxfId="24"/>
  </tableColumns>
  <tableStyleInfo name="TableStyleDark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F3F7653-EE9D-44E1-8F93-DA94D51B40D4}" name="Table15" displayName="Table15" ref="DF64:DL87" totalsRowShown="0" headerRowDxfId="23" dataDxfId="22" tableBorderDxfId="21">
  <autoFilter ref="DF64:DL87" xr:uid="{0F3F7653-EE9D-44E1-8F93-DA94D51B40D4}"/>
  <tableColumns count="7">
    <tableColumn id="1" xr3:uid="{9D306E26-B3A4-4C73-BC88-2DC7814C5579}" name="SUMMARY" dataDxfId="20"/>
    <tableColumn id="2" xr3:uid="{31BC733F-3045-46CF-9112-D9B0EA0662B2}" name="Count" dataDxfId="19"/>
    <tableColumn id="3" xr3:uid="{AA3A91C0-ABF5-4BD9-96D3-3A3122AB2C16}" name="Sum" dataDxfId="18"/>
    <tableColumn id="4" xr3:uid="{6583DBD3-E7AA-4723-A29E-AF72A03E440F}" name="Average" dataDxfId="17"/>
    <tableColumn id="5" xr3:uid="{EF9DD697-9262-4087-B6F3-979B2E728169}" name="Variance" dataDxfId="16"/>
    <tableColumn id="6" xr3:uid="{BA1D27E7-C976-43B3-9E29-3F1690DDF104}" name="Column1" dataDxfId="15"/>
    <tableColumn id="7" xr3:uid="{51BF034F-EEE4-4653-BAE5-8030785B690C}" name="Column2" dataDxfId="14"/>
  </tableColumns>
  <tableStyleInfo name="TableStyleDark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3803512-5192-42E8-87AC-99F0E0232A6E}" name="Table16" displayName="Table16" ref="DF28:DH30" totalsRowShown="0" headerRowDxfId="7" dataDxfId="8" headerRowBorderDxfId="12" tableBorderDxfId="13">
  <autoFilter ref="DF28:DH30" xr:uid="{73803512-5192-42E8-87AC-99F0E0232A6E}"/>
  <tableColumns count="3">
    <tableColumn id="1" xr3:uid="{79DDC5C4-0CD5-410B-AF1A-D9FCC2DEB4D9}" name="Column1" dataDxfId="11"/>
    <tableColumn id="2" xr3:uid="{5BE7F53C-2465-4DEB-BCBF-E35358ED51D4}" name="MALE" dataDxfId="10"/>
    <tableColumn id="3" xr3:uid="{8EA71C1B-6247-4C30-B042-71393C28E62F}" name="FEMALE" dataDxfId="9"/>
  </tableColumns>
  <tableStyleInfo name="TableStyleDark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FD88262-CA99-4BDF-A1AB-7FB8C9624BE1}" name="Table17" displayName="Table17" ref="DE40:DM55" totalsRowShown="0" tableBorderDxfId="6">
  <autoFilter ref="DE40:DM55" xr:uid="{CFD88262-CA99-4BDF-A1AB-7FB8C9624BE1}"/>
  <tableColumns count="9">
    <tableColumn id="1" xr3:uid="{D28A2663-F52C-4081-9F35-039BF82C007C}" name="Regression Statistics" dataDxfId="5"/>
    <tableColumn id="2" xr3:uid="{D3DFBFA9-F290-438C-801A-6A27D7E3EE3E}" name="Column1" dataDxfId="4"/>
    <tableColumn id="3" xr3:uid="{C32E7BEA-250B-43F0-AAA5-941E807D8F5A}" name="Column2" dataDxfId="3"/>
    <tableColumn id="4" xr3:uid="{65EC5955-6E2C-44B1-94C0-DCF68652AE1A}" name="Column3" dataDxfId="2"/>
    <tableColumn id="5" xr3:uid="{62256837-11E5-4DDA-87A0-90B3E8D3167D}" name="Column4" dataDxfId="1"/>
    <tableColumn id="6" xr3:uid="{B3ED6169-9B49-4C02-9EDD-1D46C33CEC2E}" name="Column5" dataDxfId="0"/>
    <tableColumn id="7" xr3:uid="{17DA2897-F269-43B0-9228-C7A255011B44}" name="Column6"/>
    <tableColumn id="8" xr3:uid="{314B6644-A9FD-4B44-974D-FCED78503A6A}" name="Column7"/>
    <tableColumn id="9" xr3:uid="{A39C535E-0525-44B6-B736-11DE42BC1FF7}" name="Column8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499"/>
  <sheetViews>
    <sheetView tabSelected="1" topLeftCell="CO52" zoomScale="70" zoomScaleNormal="70" workbookViewId="0">
      <selection activeCell="DC87" sqref="DC87"/>
    </sheetView>
  </sheetViews>
  <sheetFormatPr defaultRowHeight="15" x14ac:dyDescent="0.25"/>
  <cols>
    <col min="1" max="1" width="13.28515625" bestFit="1" customWidth="1"/>
    <col min="2" max="2" width="11.7109375" bestFit="1" customWidth="1"/>
    <col min="3" max="3" width="15.28515625" bestFit="1" customWidth="1"/>
    <col min="4" max="4" width="7.5703125" bestFit="1" customWidth="1"/>
    <col min="5" max="5" width="11.7109375" bestFit="1" customWidth="1"/>
    <col min="6" max="7" width="10.42578125" bestFit="1" customWidth="1"/>
    <col min="8" max="8" width="5" bestFit="1" customWidth="1"/>
    <col min="9" max="9" width="6.85546875" bestFit="1" customWidth="1"/>
    <col min="10" max="10" width="12.140625" bestFit="1" customWidth="1"/>
    <col min="11" max="11" width="7.85546875" bestFit="1" customWidth="1"/>
    <col min="12" max="12" width="11.42578125" bestFit="1" customWidth="1"/>
    <col min="13" max="13" width="11" bestFit="1" customWidth="1"/>
    <col min="14" max="14" width="10.28515625" bestFit="1" customWidth="1"/>
    <col min="15" max="15" width="7.85546875" bestFit="1" customWidth="1"/>
    <col min="16" max="16" width="14.7109375" bestFit="1" customWidth="1"/>
    <col min="17" max="17" width="17.5703125" bestFit="1" customWidth="1"/>
    <col min="18" max="18" width="15.7109375" bestFit="1" customWidth="1"/>
    <col min="20" max="20" width="16.85546875" bestFit="1" customWidth="1"/>
    <col min="21" max="21" width="12" bestFit="1" customWidth="1"/>
    <col min="26" max="26" width="9.42578125" customWidth="1"/>
    <col min="27" max="27" width="14.140625" customWidth="1"/>
    <col min="28" max="28" width="15" customWidth="1"/>
    <col min="29" max="29" width="11.42578125" customWidth="1"/>
    <col min="30" max="30" width="10.140625" customWidth="1"/>
    <col min="31" max="31" width="18.42578125" customWidth="1"/>
    <col min="32" max="32" width="20" customWidth="1"/>
    <col min="33" max="33" width="19.7109375" customWidth="1"/>
    <col min="34" max="34" width="18.28515625" customWidth="1"/>
    <col min="38" max="38" width="10.28515625" bestFit="1" customWidth="1"/>
    <col min="39" max="39" width="11.42578125" customWidth="1"/>
    <col min="40" max="40" width="22.5703125" bestFit="1" customWidth="1"/>
    <col min="41" max="41" width="17" bestFit="1" customWidth="1"/>
    <col min="42" max="42" width="19.28515625" customWidth="1"/>
    <col min="43" max="43" width="18.85546875" customWidth="1"/>
    <col min="44" max="44" width="20.5703125" customWidth="1"/>
    <col min="46" max="46" width="17.85546875" customWidth="1"/>
    <col min="50" max="50" width="23" customWidth="1"/>
    <col min="55" max="55" width="10.7109375" customWidth="1"/>
    <col min="57" max="57" width="16.140625" customWidth="1"/>
    <col min="61" max="61" width="18.42578125" customWidth="1"/>
    <col min="62" max="62" width="19.7109375" customWidth="1"/>
    <col min="68" max="68" width="17.140625" customWidth="1"/>
    <col min="69" max="69" width="14.5703125" customWidth="1"/>
    <col min="71" max="71" width="12.42578125" customWidth="1"/>
    <col min="78" max="78" width="21" customWidth="1"/>
    <col min="81" max="81" width="15.28515625" bestFit="1" customWidth="1"/>
    <col min="84" max="84" width="26.28515625" customWidth="1"/>
    <col min="86" max="86" width="17" customWidth="1"/>
    <col min="90" max="90" width="12" bestFit="1" customWidth="1"/>
    <col min="91" max="91" width="8.85546875" customWidth="1"/>
    <col min="92" max="92" width="15.42578125" bestFit="1" customWidth="1"/>
    <col min="97" max="97" width="4.5703125" customWidth="1"/>
    <col min="98" max="98" width="29" bestFit="1" customWidth="1"/>
    <col min="99" max="100" width="14" bestFit="1" customWidth="1"/>
    <col min="101" max="101" width="15.140625" bestFit="1" customWidth="1"/>
    <col min="102" max="102" width="29" bestFit="1" customWidth="1"/>
    <col min="103" max="103" width="14" bestFit="1" customWidth="1"/>
    <col min="104" max="104" width="16.85546875" customWidth="1"/>
    <col min="105" max="105" width="29" bestFit="1" customWidth="1"/>
    <col min="106" max="106" width="12.7109375" bestFit="1" customWidth="1"/>
    <col min="107" max="107" width="12" bestFit="1" customWidth="1"/>
    <col min="108" max="108" width="20" bestFit="1" customWidth="1"/>
    <col min="109" max="109" width="21.5703125" customWidth="1"/>
    <col min="110" max="110" width="25.28515625" bestFit="1" customWidth="1"/>
    <col min="111" max="111" width="13.5703125" customWidth="1"/>
    <col min="112" max="117" width="11.5703125" customWidth="1"/>
  </cols>
  <sheetData>
    <row r="1" spans="1:113" ht="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Z1" s="2" t="s">
        <v>443</v>
      </c>
      <c r="AA1" s="2" t="s">
        <v>444</v>
      </c>
      <c r="AB1" s="2" t="s">
        <v>445</v>
      </c>
      <c r="AC1" s="2" t="s">
        <v>446</v>
      </c>
      <c r="AD1" s="2" t="s">
        <v>447</v>
      </c>
      <c r="AE1" s="2" t="s">
        <v>453</v>
      </c>
      <c r="AF1" s="2" t="s">
        <v>455</v>
      </c>
      <c r="AG1" s="2" t="s">
        <v>454</v>
      </c>
      <c r="AH1" s="2" t="s">
        <v>458</v>
      </c>
      <c r="AL1" s="1" t="s">
        <v>459</v>
      </c>
      <c r="AM1" s="1" t="s">
        <v>460</v>
      </c>
      <c r="AN1" s="1" t="s">
        <v>4</v>
      </c>
      <c r="AO1" s="1" t="s">
        <v>453</v>
      </c>
      <c r="AP1" s="1" t="s">
        <v>454</v>
      </c>
      <c r="AQ1" s="1" t="s">
        <v>567</v>
      </c>
      <c r="AR1" s="1" t="s">
        <v>568</v>
      </c>
      <c r="AT1" s="1" t="s">
        <v>574</v>
      </c>
      <c r="AV1" s="1" t="s">
        <v>575</v>
      </c>
      <c r="AW1" s="1" t="s">
        <v>576</v>
      </c>
      <c r="AZ1" s="1" t="s">
        <v>575</v>
      </c>
      <c r="BA1" s="1" t="s">
        <v>583</v>
      </c>
      <c r="BB1" s="1" t="s">
        <v>584</v>
      </c>
      <c r="BC1" s="1" t="s">
        <v>585</v>
      </c>
      <c r="BG1" s="1" t="s">
        <v>575</v>
      </c>
      <c r="BH1" s="1" t="s">
        <v>587</v>
      </c>
      <c r="BM1" s="1" t="s">
        <v>575</v>
      </c>
      <c r="BN1" s="1" t="s">
        <v>592</v>
      </c>
      <c r="BO1" s="1" t="s">
        <v>593</v>
      </c>
      <c r="BP1" s="1"/>
      <c r="BQ1" s="1"/>
      <c r="BR1" s="1"/>
      <c r="BS1" s="1"/>
      <c r="BT1" s="1"/>
      <c r="BU1" s="1"/>
      <c r="BV1" s="1" t="s">
        <v>575</v>
      </c>
      <c r="BW1" s="1" t="s">
        <v>592</v>
      </c>
      <c r="BX1" s="1" t="s">
        <v>600</v>
      </c>
      <c r="BY1" s="1"/>
      <c r="CC1" s="1" t="s">
        <v>603</v>
      </c>
      <c r="CD1" s="1" t="s">
        <v>604</v>
      </c>
      <c r="CL1" s="11"/>
      <c r="CN1" s="11" t="s">
        <v>621</v>
      </c>
      <c r="CS1" s="12" t="s">
        <v>626</v>
      </c>
      <c r="CT1" s="13" t="s">
        <v>627</v>
      </c>
      <c r="CU1" s="14" t="s">
        <v>630</v>
      </c>
      <c r="CV1" s="14" t="s">
        <v>631</v>
      </c>
      <c r="CW1" s="15" t="s">
        <v>632</v>
      </c>
      <c r="CX1" s="14" t="s">
        <v>642</v>
      </c>
      <c r="CY1" s="14" t="s">
        <v>644</v>
      </c>
      <c r="DA1" s="49" t="s">
        <v>640</v>
      </c>
      <c r="DB1" s="49"/>
      <c r="DF1" s="1" t="s">
        <v>635</v>
      </c>
      <c r="DG1" s="1"/>
    </row>
    <row r="2" spans="1:113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2025</v>
      </c>
      <c r="I2">
        <v>9</v>
      </c>
      <c r="J2" t="s">
        <v>24</v>
      </c>
      <c r="K2" t="s">
        <v>25</v>
      </c>
      <c r="L2" t="s">
        <v>26</v>
      </c>
      <c r="M2">
        <v>0</v>
      </c>
      <c r="N2">
        <v>8</v>
      </c>
      <c r="O2">
        <v>1</v>
      </c>
      <c r="P2">
        <v>3</v>
      </c>
      <c r="Q2">
        <v>63</v>
      </c>
      <c r="R2">
        <v>9</v>
      </c>
      <c r="Z2" s="3">
        <v>1</v>
      </c>
      <c r="AA2" s="4">
        <v>46174</v>
      </c>
      <c r="AB2" s="3" t="s">
        <v>448</v>
      </c>
      <c r="AC2" s="3">
        <v>2</v>
      </c>
      <c r="AD2" s="3">
        <v>120000</v>
      </c>
      <c r="AE2">
        <v>0.90587349068483181</v>
      </c>
      <c r="AF2" t="str" cm="1">
        <f t="array" ref="AF2:AF6">_xlfn.UNIQUE(AB2:AB11)</f>
        <v>Laptop</v>
      </c>
      <c r="AG2">
        <f>MOD(Z2-1,4)</f>
        <v>0</v>
      </c>
      <c r="AH2" cm="1">
        <f t="array" ref="AH2:AH3">_xlfn._xlws.FILTER(Z2:Z11,AB2:AB11="Laptop","Empty")</f>
        <v>1</v>
      </c>
      <c r="AJ2" t="str">
        <f>CHAR(INT((Z2-1)/3)+1)</f>
        <v>_x0001_</v>
      </c>
      <c r="AL2">
        <v>1</v>
      </c>
      <c r="AM2" t="s">
        <v>461</v>
      </c>
      <c r="AN2" t="s">
        <v>470</v>
      </c>
      <c r="AO2">
        <v>0.9943449342448526</v>
      </c>
      <c r="AP2" t="str">
        <f>IF(MOD(AL2-2,10)=0,"selected","")</f>
        <v/>
      </c>
      <c r="AQ2" t="str">
        <f>IF(AN2="Civil","A",IF(AN2="Computer Science","B",IF(AN2="Data Science","C",IF(AN2="Electonics","D",IF(AN2="Information Technology","E","F")))))</f>
        <v>A</v>
      </c>
      <c r="AR2" t="s">
        <v>569</v>
      </c>
      <c r="AS2">
        <f>COUNTA(AQ2:AQ17)</f>
        <v>16</v>
      </c>
      <c r="AT2">
        <f>ROUNDUP(AS2/100*17,1)</f>
        <v>2.8000000000000003</v>
      </c>
      <c r="AV2" cm="1">
        <f t="array" ref="AV2:AV201">_xlfn.SEQUENCE(200)</f>
        <v>1</v>
      </c>
      <c r="AW2" t="s">
        <v>577</v>
      </c>
      <c r="AZ2" cm="1">
        <f t="array" ref="AZ2:AZ101">_xlfn.SEQUENCE(100)</f>
        <v>1</v>
      </c>
      <c r="BA2" t="s">
        <v>578</v>
      </c>
      <c r="BB2" t="s">
        <v>577</v>
      </c>
      <c r="BC2" t="str">
        <f>_xlfn.CONCAT(BA2,BB2)</f>
        <v>HEADTAIL</v>
      </c>
      <c r="BE2" t="s">
        <v>586</v>
      </c>
      <c r="BG2" cm="1">
        <f t="array" ref="BG2:BG101">_xlfn.SEQUENCE(100)</f>
        <v>1</v>
      </c>
      <c r="BH2">
        <v>1</v>
      </c>
      <c r="BI2" t="s">
        <v>588</v>
      </c>
      <c r="BJ2" t="s">
        <v>590</v>
      </c>
      <c r="BM2" cm="1">
        <f t="array" ref="BM2:BM101">_xlfn.SEQUENCE(100)</f>
        <v>1</v>
      </c>
      <c r="BN2" t="s">
        <v>20</v>
      </c>
      <c r="BO2" t="s">
        <v>594</v>
      </c>
      <c r="BV2" cm="1">
        <f t="array" ref="BV2:BV101">_xlfn.SEQUENCE(100)</f>
        <v>1</v>
      </c>
      <c r="BW2" t="s">
        <v>20</v>
      </c>
      <c r="BX2">
        <v>5</v>
      </c>
      <c r="CC2" t="s">
        <v>19</v>
      </c>
      <c r="CD2">
        <v>82</v>
      </c>
      <c r="CF2" s="1" t="s">
        <v>605</v>
      </c>
      <c r="CH2" t="s">
        <v>607</v>
      </c>
      <c r="CI2">
        <v>20000</v>
      </c>
      <c r="CK2" s="1"/>
      <c r="CN2">
        <f>_xlfn.BINOM.DIST(6,10,0.5,TRUE)</f>
        <v>0.828125</v>
      </c>
      <c r="CS2" s="16">
        <v>1</v>
      </c>
      <c r="CT2" s="17">
        <v>10</v>
      </c>
      <c r="CU2" s="17">
        <f>CS2-CT18</f>
        <v>-3.5384615384615383</v>
      </c>
      <c r="CV2" s="17">
        <f>CT2-CU18</f>
        <v>3.2307692307692308</v>
      </c>
      <c r="CW2" s="18">
        <f>CU2*CV2</f>
        <v>-11.431952662721894</v>
      </c>
      <c r="CX2" s="14">
        <f>Table1[[#This Row],[X-X_]]*Table1[[#This Row],[X-X_]]</f>
        <v>12.520710059171597</v>
      </c>
      <c r="CY2" s="14">
        <f>Table1[[#This Row],[Y-Y_]]*Table1[[#This Row],[Y-Y_]]</f>
        <v>10.437869822485208</v>
      </c>
      <c r="DA2" s="12" t="s">
        <v>639</v>
      </c>
      <c r="DB2" s="26" t="s">
        <v>569</v>
      </c>
      <c r="DC2" s="26" t="s">
        <v>570</v>
      </c>
      <c r="DD2" s="27" t="s">
        <v>641</v>
      </c>
      <c r="DF2" s="28" t="s">
        <v>626</v>
      </c>
      <c r="DG2" s="14" t="s">
        <v>636</v>
      </c>
      <c r="DH2" s="14" t="s">
        <v>637</v>
      </c>
      <c r="DI2" s="15" t="s">
        <v>635</v>
      </c>
    </row>
    <row r="3" spans="1:113" x14ac:dyDescent="0.25">
      <c r="A3">
        <v>2</v>
      </c>
      <c r="B3" t="s">
        <v>27</v>
      </c>
      <c r="C3" t="s">
        <v>28</v>
      </c>
      <c r="D3" t="s">
        <v>20</v>
      </c>
      <c r="E3" t="s">
        <v>29</v>
      </c>
      <c r="F3" t="s">
        <v>30</v>
      </c>
      <c r="G3" t="s">
        <v>31</v>
      </c>
      <c r="H3">
        <v>2025</v>
      </c>
      <c r="I3">
        <v>7</v>
      </c>
      <c r="J3" t="s">
        <v>32</v>
      </c>
      <c r="K3" t="s">
        <v>25</v>
      </c>
      <c r="L3" t="s">
        <v>33</v>
      </c>
      <c r="M3">
        <v>0</v>
      </c>
      <c r="N3">
        <v>8</v>
      </c>
      <c r="O3">
        <v>0</v>
      </c>
      <c r="P3">
        <v>0</v>
      </c>
      <c r="Q3">
        <v>0</v>
      </c>
      <c r="R3">
        <v>0</v>
      </c>
      <c r="T3" s="1" t="s">
        <v>431</v>
      </c>
      <c r="U3">
        <f>_xlfn.STDEV.S(Q:Q)</f>
        <v>39.092047183723601</v>
      </c>
      <c r="Z3" s="3">
        <v>2</v>
      </c>
      <c r="AA3" s="4">
        <v>46175</v>
      </c>
      <c r="AB3" s="3" t="s">
        <v>449</v>
      </c>
      <c r="AC3" s="3">
        <v>10</v>
      </c>
      <c r="AD3" s="3">
        <v>5000</v>
      </c>
      <c r="AE3">
        <v>0.18888622330481997</v>
      </c>
      <c r="AF3" t="str">
        <v>Mouse</v>
      </c>
      <c r="AG3">
        <f t="shared" ref="AG3:AG11" si="0">MOD(Z3-1,4)</f>
        <v>1</v>
      </c>
      <c r="AH3">
        <v>6</v>
      </c>
      <c r="AJ3" t="str">
        <f t="shared" ref="AJ3:AJ11" si="1">CHAR(INT((Z3-1)/3)+1)</f>
        <v>_x0001_</v>
      </c>
      <c r="AL3">
        <v>2</v>
      </c>
      <c r="AM3" t="s">
        <v>463</v>
      </c>
      <c r="AN3" t="s">
        <v>470</v>
      </c>
      <c r="AO3">
        <v>0.97422887691763671</v>
      </c>
      <c r="AP3" t="str">
        <f t="shared" ref="AP3:AP66" si="2">IF(MOD(AL3-2,10)=0,"selected","")</f>
        <v>selected</v>
      </c>
      <c r="AQ3" t="str">
        <f t="shared" ref="AQ3:AQ66" si="3">IF(AN3="Civil","A",IF(AN3="Computer Science","B",IF(AN3="Data Science","C",IF(AN3="Electonics","D",IF(AN3="Information Technology","E","F")))))</f>
        <v>A</v>
      </c>
      <c r="AR3" t="s">
        <v>570</v>
      </c>
      <c r="AS3">
        <f>COUNTA(AQ18:AQ34)</f>
        <v>17</v>
      </c>
      <c r="AT3">
        <f t="shared" ref="AT3:AT7" si="4">(AS3/100*17)</f>
        <v>2.89</v>
      </c>
      <c r="AV3">
        <v>2</v>
      </c>
      <c r="AW3" t="s">
        <v>577</v>
      </c>
      <c r="AX3" s="1" t="s">
        <v>579</v>
      </c>
      <c r="AZ3">
        <v>2</v>
      </c>
      <c r="BA3" t="s">
        <v>578</v>
      </c>
      <c r="BB3" t="s">
        <v>577</v>
      </c>
      <c r="BC3" t="str">
        <f t="shared" ref="BC3:BC66" si="5">_xlfn.CONCAT(BA3,BB3)</f>
        <v>HEADTAIL</v>
      </c>
      <c r="BE3">
        <f>COUNTIF(BC:BC,"HEADTAIL")</f>
        <v>28</v>
      </c>
      <c r="BG3">
        <v>2</v>
      </c>
      <c r="BH3">
        <v>3</v>
      </c>
      <c r="BI3">
        <f>COUNTIF(BH:BH,"3")</f>
        <v>13</v>
      </c>
      <c r="BJ3">
        <f>COUNTIF(BH:BH,"4")</f>
        <v>14</v>
      </c>
      <c r="BM3">
        <v>2</v>
      </c>
      <c r="BN3" t="s">
        <v>20</v>
      </c>
      <c r="BO3" t="s">
        <v>594</v>
      </c>
      <c r="BP3" s="6" t="s">
        <v>596</v>
      </c>
      <c r="BQ3" s="1" t="s">
        <v>597</v>
      </c>
      <c r="BR3" s="1"/>
      <c r="BS3" s="1" t="s">
        <v>599</v>
      </c>
      <c r="BV3">
        <v>2</v>
      </c>
      <c r="BW3" t="s">
        <v>20</v>
      </c>
      <c r="BX3">
        <v>6</v>
      </c>
      <c r="BZ3" s="1" t="s">
        <v>601</v>
      </c>
      <c r="CC3" t="s">
        <v>28</v>
      </c>
      <c r="CD3">
        <v>94</v>
      </c>
      <c r="CF3">
        <f>COUNTIF(CD:CD,"&gt;=85")</f>
        <v>152</v>
      </c>
      <c r="CH3" t="s">
        <v>608</v>
      </c>
      <c r="CI3">
        <v>200</v>
      </c>
      <c r="CK3" s="1"/>
      <c r="CS3" s="16">
        <v>1</v>
      </c>
      <c r="CT3" s="17">
        <v>9</v>
      </c>
      <c r="CU3" s="17">
        <f>CS3-CT18</f>
        <v>-3.5384615384615383</v>
      </c>
      <c r="CV3" s="17">
        <f>CT3-CU18</f>
        <v>2.2307692307692308</v>
      </c>
      <c r="CW3" s="18">
        <f t="shared" ref="CW3:CW14" si="6">CU3*CV3</f>
        <v>-7.8934911242603549</v>
      </c>
      <c r="CX3" s="14">
        <f>Table1[[#This Row],[X-X_]]*Table1[[#This Row],[X-X_]]</f>
        <v>12.520710059171597</v>
      </c>
      <c r="CY3" s="17">
        <f>Table1[[#This Row],[Y-Y_]]*Table1[[#This Row],[Y-Y_]]</f>
        <v>4.9763313609467454</v>
      </c>
      <c r="DA3" s="16">
        <v>7.1653882815413961E-2</v>
      </c>
      <c r="DB3" s="17">
        <v>39</v>
      </c>
      <c r="DC3" s="17">
        <v>44</v>
      </c>
      <c r="DD3" s="18">
        <f>DA3*(DC3-DB3)+DB3</f>
        <v>39.358269414077071</v>
      </c>
      <c r="DF3" s="16">
        <v>2</v>
      </c>
      <c r="DG3" s="17">
        <v>4</v>
      </c>
      <c r="DH3" s="17">
        <v>0.5</v>
      </c>
      <c r="DI3" s="18">
        <f>_xlfn.BINOM.DIST(DF3,DG3,DH3,TRUE)</f>
        <v>0.6875</v>
      </c>
    </row>
    <row r="4" spans="1:113" ht="15.75" customHeight="1" x14ac:dyDescent="0.3">
      <c r="A4">
        <v>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>
        <v>2024</v>
      </c>
      <c r="I4">
        <v>3</v>
      </c>
      <c r="J4" t="s">
        <v>40</v>
      </c>
      <c r="K4" t="s">
        <v>41</v>
      </c>
      <c r="L4" t="s">
        <v>26</v>
      </c>
      <c r="M4">
        <v>0</v>
      </c>
      <c r="N4">
        <v>8</v>
      </c>
      <c r="O4">
        <v>0</v>
      </c>
      <c r="P4">
        <v>0</v>
      </c>
      <c r="Q4">
        <v>0</v>
      </c>
      <c r="R4">
        <v>0</v>
      </c>
      <c r="T4" s="1" t="s">
        <v>432</v>
      </c>
      <c r="U4">
        <f>_xlfn.STDEV.S(Q:Q)</f>
        <v>39.092047183723601</v>
      </c>
      <c r="Z4" s="3">
        <v>3</v>
      </c>
      <c r="AA4" s="4">
        <v>46176</v>
      </c>
      <c r="AB4" s="3" t="s">
        <v>450</v>
      </c>
      <c r="AC4" s="3">
        <v>5</v>
      </c>
      <c r="AD4" s="3">
        <v>7500</v>
      </c>
      <c r="AE4">
        <v>0.6159042036278336</v>
      </c>
      <c r="AF4" t="str">
        <v>Keyboard</v>
      </c>
      <c r="AG4">
        <f t="shared" si="0"/>
        <v>2</v>
      </c>
      <c r="AJ4" t="str">
        <f t="shared" si="1"/>
        <v>_x0001_</v>
      </c>
      <c r="AL4">
        <v>3</v>
      </c>
      <c r="AM4" t="s">
        <v>465</v>
      </c>
      <c r="AN4" t="s">
        <v>470</v>
      </c>
      <c r="AO4">
        <v>0.97318517203549948</v>
      </c>
      <c r="AP4" t="str">
        <f t="shared" si="2"/>
        <v/>
      </c>
      <c r="AQ4" t="str">
        <f t="shared" si="3"/>
        <v>A</v>
      </c>
      <c r="AR4" t="s">
        <v>571</v>
      </c>
      <c r="AS4">
        <f>COUNTA(AQ35:AQ51)</f>
        <v>17</v>
      </c>
      <c r="AT4">
        <f t="shared" si="4"/>
        <v>2.89</v>
      </c>
      <c r="AV4">
        <v>3</v>
      </c>
      <c r="AW4" t="s">
        <v>578</v>
      </c>
      <c r="AX4">
        <f>COUNTIF(AW:AW,"HEAD")</f>
        <v>109</v>
      </c>
      <c r="AZ4">
        <v>3</v>
      </c>
      <c r="BA4" t="s">
        <v>577</v>
      </c>
      <c r="BB4" t="s">
        <v>577</v>
      </c>
      <c r="BC4" t="str">
        <f t="shared" si="5"/>
        <v>TAILTAIL</v>
      </c>
      <c r="BG4">
        <v>3</v>
      </c>
      <c r="BH4">
        <v>6</v>
      </c>
      <c r="BM4">
        <v>3</v>
      </c>
      <c r="BN4" t="s">
        <v>20</v>
      </c>
      <c r="BO4" t="s">
        <v>594</v>
      </c>
      <c r="BP4">
        <f>COUNTIF(BN:BN,"M")</f>
        <v>46</v>
      </c>
      <c r="BQ4">
        <f>COUNTIF(BO:BO,"YES")</f>
        <v>47</v>
      </c>
      <c r="BS4" s="5">
        <f>COUNTIF(BN:BN,"M")/100+COUNTIF(BO:BO,"YES")/100-COUNTIFS(BN:BN,"M",BO:BO,"YES")/100</f>
        <v>0.72</v>
      </c>
      <c r="BV4">
        <v>3</v>
      </c>
      <c r="BW4" t="s">
        <v>20</v>
      </c>
      <c r="BX4">
        <v>2</v>
      </c>
      <c r="BZ4">
        <f>COUNTIFS(BW:BW,"M",BX:BX,"3")</f>
        <v>3</v>
      </c>
      <c r="CC4" t="s">
        <v>35</v>
      </c>
      <c r="CD4">
        <v>68</v>
      </c>
      <c r="CH4" t="s">
        <v>609</v>
      </c>
      <c r="CI4">
        <v>19800</v>
      </c>
      <c r="CK4" s="1"/>
      <c r="CN4" s="11" t="s">
        <v>622</v>
      </c>
      <c r="CS4" s="16">
        <v>7</v>
      </c>
      <c r="CT4" s="17">
        <v>1</v>
      </c>
      <c r="CU4" s="17">
        <f>CS4-CT18</f>
        <v>2.4615384615384617</v>
      </c>
      <c r="CV4" s="17">
        <f>CT4-CU18</f>
        <v>-5.7692307692307692</v>
      </c>
      <c r="CW4" s="18">
        <f t="shared" si="6"/>
        <v>-14.201183431952664</v>
      </c>
      <c r="CX4" s="14">
        <f>Table1[[#This Row],[X-X_]]*Table1[[#This Row],[X-X_]]</f>
        <v>6.0591715976331368</v>
      </c>
      <c r="CY4" s="17">
        <f>Table1[[#This Row],[Y-Y_]]*Table1[[#This Row],[Y-Y_]]</f>
        <v>33.284023668639051</v>
      </c>
      <c r="DA4" s="16">
        <v>0.53392578464948326</v>
      </c>
      <c r="DB4" s="17">
        <v>14</v>
      </c>
      <c r="DC4" s="17">
        <v>11</v>
      </c>
      <c r="DD4" s="18">
        <f t="shared" ref="DD4:DD14" si="7">DA4*(DC4-DB4)+DB4</f>
        <v>12.398222646051551</v>
      </c>
      <c r="DF4" s="16">
        <v>5</v>
      </c>
      <c r="DG4" s="17">
        <v>9</v>
      </c>
      <c r="DH4" s="17">
        <v>0.5</v>
      </c>
      <c r="DI4" s="18">
        <f t="shared" ref="DI4:DI14" si="8">_xlfn.BINOM.DIST(DF4,DG4,DH4,TRUE)</f>
        <v>0.74609375</v>
      </c>
    </row>
    <row r="5" spans="1:113" x14ac:dyDescent="0.25">
      <c r="A5">
        <v>4</v>
      </c>
      <c r="B5" t="s">
        <v>42</v>
      </c>
      <c r="C5" t="s">
        <v>43</v>
      </c>
      <c r="D5" t="s">
        <v>36</v>
      </c>
      <c r="E5" t="s">
        <v>37</v>
      </c>
      <c r="F5" t="s">
        <v>22</v>
      </c>
      <c r="G5" t="s">
        <v>44</v>
      </c>
      <c r="H5">
        <v>2024</v>
      </c>
      <c r="I5">
        <v>3</v>
      </c>
      <c r="J5" t="s">
        <v>40</v>
      </c>
      <c r="K5" t="s">
        <v>41</v>
      </c>
      <c r="L5" t="s">
        <v>45</v>
      </c>
      <c r="M5">
        <v>1</v>
      </c>
      <c r="N5">
        <v>8</v>
      </c>
      <c r="O5">
        <v>0</v>
      </c>
      <c r="P5">
        <v>0</v>
      </c>
      <c r="Q5">
        <v>0</v>
      </c>
      <c r="R5">
        <v>0</v>
      </c>
      <c r="T5" s="1" t="s">
        <v>433</v>
      </c>
      <c r="U5">
        <f>_xlfn.VAR.P(R:R,Q:Q)</f>
        <v>1087.6194496862954</v>
      </c>
      <c r="Z5" s="3">
        <v>4</v>
      </c>
      <c r="AA5" s="4">
        <v>46177</v>
      </c>
      <c r="AB5" s="3" t="s">
        <v>451</v>
      </c>
      <c r="AC5" s="3">
        <v>3</v>
      </c>
      <c r="AD5" s="3">
        <v>45000</v>
      </c>
      <c r="AE5">
        <v>0.55648396596085392</v>
      </c>
      <c r="AF5" t="str">
        <v>Monitor</v>
      </c>
      <c r="AG5">
        <f t="shared" si="0"/>
        <v>3</v>
      </c>
      <c r="AJ5" t="str">
        <f t="shared" si="1"/>
        <v>_x0002_</v>
      </c>
      <c r="AL5">
        <v>4</v>
      </c>
      <c r="AM5" t="s">
        <v>467</v>
      </c>
      <c r="AN5" t="s">
        <v>470</v>
      </c>
      <c r="AO5">
        <v>0.96072107579963306</v>
      </c>
      <c r="AP5" t="str">
        <f t="shared" si="2"/>
        <v/>
      </c>
      <c r="AQ5" t="str">
        <f t="shared" si="3"/>
        <v>A</v>
      </c>
      <c r="AR5" t="s">
        <v>572</v>
      </c>
      <c r="AS5">
        <f>COUNTA(AQ52:AQ68)</f>
        <v>17</v>
      </c>
      <c r="AT5">
        <f t="shared" si="4"/>
        <v>2.89</v>
      </c>
      <c r="AV5">
        <v>4</v>
      </c>
      <c r="AW5" t="s">
        <v>578</v>
      </c>
      <c r="AZ5">
        <v>4</v>
      </c>
      <c r="BA5" t="s">
        <v>578</v>
      </c>
      <c r="BB5" t="s">
        <v>577</v>
      </c>
      <c r="BC5" t="str">
        <f t="shared" si="5"/>
        <v>HEADTAIL</v>
      </c>
      <c r="BG5">
        <v>4</v>
      </c>
      <c r="BH5">
        <v>1</v>
      </c>
      <c r="BI5" t="s">
        <v>589</v>
      </c>
      <c r="BJ5" t="s">
        <v>591</v>
      </c>
      <c r="BM5">
        <v>4</v>
      </c>
      <c r="BN5" t="s">
        <v>20</v>
      </c>
      <c r="BO5" t="s">
        <v>595</v>
      </c>
      <c r="BV5">
        <v>4</v>
      </c>
      <c r="BW5" t="s">
        <v>20</v>
      </c>
      <c r="BX5">
        <v>3</v>
      </c>
      <c r="CC5" t="s">
        <v>43</v>
      </c>
      <c r="CD5">
        <v>83</v>
      </c>
      <c r="CF5" s="1" t="s">
        <v>606</v>
      </c>
      <c r="CH5" t="s">
        <v>610</v>
      </c>
      <c r="CI5" s="7">
        <v>0.95</v>
      </c>
      <c r="CK5" s="1"/>
      <c r="CN5">
        <v>6.6613652855887402</v>
      </c>
      <c r="CS5" s="16">
        <v>6</v>
      </c>
      <c r="CT5" s="17">
        <v>7</v>
      </c>
      <c r="CU5" s="17">
        <f>CS5-CT18</f>
        <v>1.4615384615384617</v>
      </c>
      <c r="CV5" s="17">
        <f>CT5-CU18</f>
        <v>0.23076923076923084</v>
      </c>
      <c r="CW5" s="18">
        <f t="shared" si="6"/>
        <v>0.33727810650887585</v>
      </c>
      <c r="CX5" s="14">
        <f>Table1[[#This Row],[X-X_]]*Table1[[#This Row],[X-X_]]</f>
        <v>2.1360946745562135</v>
      </c>
      <c r="CY5" s="17">
        <f>Table1[[#This Row],[Y-Y_]]*Table1[[#This Row],[Y-Y_]]</f>
        <v>5.3254437869822514E-2</v>
      </c>
      <c r="DA5" s="16">
        <v>0.6211587724861114</v>
      </c>
      <c r="DB5" s="17">
        <v>17</v>
      </c>
      <c r="DC5" s="17">
        <v>42</v>
      </c>
      <c r="DD5" s="18">
        <f t="shared" si="7"/>
        <v>32.528969312152782</v>
      </c>
      <c r="DF5" s="16">
        <v>5</v>
      </c>
      <c r="DG5" s="17">
        <v>8</v>
      </c>
      <c r="DH5" s="17">
        <v>0.5</v>
      </c>
      <c r="DI5" s="18">
        <f t="shared" si="8"/>
        <v>0.85546875</v>
      </c>
    </row>
    <row r="6" spans="1:113" x14ac:dyDescent="0.25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46</v>
      </c>
      <c r="H6">
        <v>2025</v>
      </c>
      <c r="I6">
        <v>5</v>
      </c>
      <c r="J6" t="s">
        <v>47</v>
      </c>
      <c r="K6" t="s">
        <v>48</v>
      </c>
      <c r="L6" t="s">
        <v>26</v>
      </c>
      <c r="M6">
        <v>0</v>
      </c>
      <c r="N6">
        <v>8</v>
      </c>
      <c r="O6">
        <v>0</v>
      </c>
      <c r="P6">
        <v>0</v>
      </c>
      <c r="Q6">
        <v>0</v>
      </c>
      <c r="R6">
        <v>0</v>
      </c>
      <c r="T6" s="1" t="s">
        <v>434</v>
      </c>
      <c r="U6">
        <f>_xlfn.VAR.S(Q:Q,R:R)</f>
        <v>1088.712534560352</v>
      </c>
      <c r="Z6" s="3">
        <v>5</v>
      </c>
      <c r="AA6" s="4">
        <v>46178</v>
      </c>
      <c r="AB6" s="3" t="s">
        <v>452</v>
      </c>
      <c r="AC6" s="3">
        <v>1</v>
      </c>
      <c r="AD6" s="3">
        <v>18000</v>
      </c>
      <c r="AE6">
        <v>0.65249079240188279</v>
      </c>
      <c r="AF6" t="str">
        <v>Printer</v>
      </c>
      <c r="AG6">
        <f t="shared" si="0"/>
        <v>0</v>
      </c>
      <c r="AJ6" t="str">
        <f t="shared" si="1"/>
        <v>_x0002_</v>
      </c>
      <c r="AL6">
        <v>5</v>
      </c>
      <c r="AM6" t="s">
        <v>469</v>
      </c>
      <c r="AN6" t="s">
        <v>470</v>
      </c>
      <c r="AO6">
        <v>0.95138424587305437</v>
      </c>
      <c r="AP6" t="str">
        <f t="shared" si="2"/>
        <v/>
      </c>
      <c r="AQ6" t="str">
        <f t="shared" si="3"/>
        <v>A</v>
      </c>
      <c r="AR6" t="s">
        <v>573</v>
      </c>
      <c r="AS6">
        <f>COUNTA(AQ52:AQ68)</f>
        <v>17</v>
      </c>
      <c r="AT6">
        <f t="shared" si="4"/>
        <v>2.89</v>
      </c>
      <c r="AV6">
        <v>5</v>
      </c>
      <c r="AW6" t="s">
        <v>578</v>
      </c>
      <c r="AX6" s="1" t="s">
        <v>580</v>
      </c>
      <c r="AZ6">
        <v>5</v>
      </c>
      <c r="BA6" t="s">
        <v>577</v>
      </c>
      <c r="BB6" t="s">
        <v>577</v>
      </c>
      <c r="BC6" t="str">
        <f t="shared" si="5"/>
        <v>TAILTAIL</v>
      </c>
      <c r="BG6">
        <v>5</v>
      </c>
      <c r="BH6">
        <v>4</v>
      </c>
      <c r="BI6" s="5">
        <f>COUNTIF(BH:BH,"3")/100</f>
        <v>0.13</v>
      </c>
      <c r="BJ6" s="5">
        <f>(BI3+BJ3)/100</f>
        <v>0.27</v>
      </c>
      <c r="BM6">
        <v>5</v>
      </c>
      <c r="BN6" t="s">
        <v>36</v>
      </c>
      <c r="BO6" t="s">
        <v>595</v>
      </c>
      <c r="BP6" s="1" t="s">
        <v>598</v>
      </c>
      <c r="BS6">
        <f>(BP4+BQ4-BP7)/100</f>
        <v>0.72</v>
      </c>
      <c r="BV6">
        <v>5</v>
      </c>
      <c r="BW6" t="s">
        <v>36</v>
      </c>
      <c r="BX6">
        <v>4</v>
      </c>
      <c r="BZ6" s="1" t="s">
        <v>602</v>
      </c>
      <c r="CC6" t="s">
        <v>35</v>
      </c>
      <c r="CD6">
        <v>74</v>
      </c>
      <c r="CF6" s="5">
        <f>COUNTIF(CD:CD,"&gt;=85")/500</f>
        <v>0.30399999999999999</v>
      </c>
      <c r="CH6" t="s">
        <v>611</v>
      </c>
      <c r="CI6" s="7">
        <v>0.05</v>
      </c>
      <c r="CS6" s="16">
        <v>5</v>
      </c>
      <c r="CT6" s="17">
        <v>4</v>
      </c>
      <c r="CU6" s="17">
        <f>CS6-CT18</f>
        <v>0.46153846153846168</v>
      </c>
      <c r="CV6" s="17">
        <f>CT6-CU18</f>
        <v>-2.7692307692307692</v>
      </c>
      <c r="CW6" s="18">
        <f t="shared" si="6"/>
        <v>-1.27810650887574</v>
      </c>
      <c r="CX6" s="14">
        <f>Table1[[#This Row],[X-X_]]*Table1[[#This Row],[X-X_]]</f>
        <v>0.21301775147929006</v>
      </c>
      <c r="CY6" s="17">
        <f>Table1[[#This Row],[Y-Y_]]*Table1[[#This Row],[Y-Y_]]</f>
        <v>7.6686390532544371</v>
      </c>
      <c r="DA6" s="16">
        <v>0.24188938872436927</v>
      </c>
      <c r="DB6" s="17">
        <v>19</v>
      </c>
      <c r="DC6" s="17">
        <v>10</v>
      </c>
      <c r="DD6" s="18">
        <f t="shared" si="7"/>
        <v>16.822995501480676</v>
      </c>
      <c r="DF6" s="16">
        <v>2</v>
      </c>
      <c r="DG6" s="17">
        <v>5</v>
      </c>
      <c r="DH6" s="17">
        <v>0.5</v>
      </c>
      <c r="DI6" s="18">
        <f t="shared" si="8"/>
        <v>0.49999999999999989</v>
      </c>
    </row>
    <row r="7" spans="1:113" x14ac:dyDescent="0.25">
      <c r="A7">
        <v>6</v>
      </c>
      <c r="B7" t="s">
        <v>27</v>
      </c>
      <c r="C7" t="s">
        <v>28</v>
      </c>
      <c r="D7" t="s">
        <v>20</v>
      </c>
      <c r="E7" t="s">
        <v>49</v>
      </c>
      <c r="F7" t="s">
        <v>30</v>
      </c>
      <c r="G7" t="s">
        <v>50</v>
      </c>
      <c r="H7">
        <v>2024</v>
      </c>
      <c r="I7">
        <v>12</v>
      </c>
      <c r="J7" t="s">
        <v>51</v>
      </c>
      <c r="K7" t="s">
        <v>52</v>
      </c>
      <c r="L7" t="s">
        <v>53</v>
      </c>
      <c r="M7">
        <v>1</v>
      </c>
      <c r="N7">
        <v>8</v>
      </c>
      <c r="O7">
        <v>1</v>
      </c>
      <c r="P7">
        <v>3</v>
      </c>
      <c r="Q7">
        <v>91</v>
      </c>
      <c r="R7">
        <v>1</v>
      </c>
      <c r="T7" s="1" t="s">
        <v>435</v>
      </c>
      <c r="U7">
        <f>MIN(Q:Q)</f>
        <v>0</v>
      </c>
      <c r="Z7" s="3">
        <v>6</v>
      </c>
      <c r="AA7" s="4">
        <v>46179</v>
      </c>
      <c r="AB7" s="3" t="s">
        <v>448</v>
      </c>
      <c r="AC7" s="3">
        <v>1</v>
      </c>
      <c r="AD7" s="3">
        <v>60000</v>
      </c>
      <c r="AE7">
        <v>0.23947661566772993</v>
      </c>
      <c r="AF7" s="3"/>
      <c r="AG7">
        <f t="shared" si="0"/>
        <v>1</v>
      </c>
      <c r="AL7">
        <v>6</v>
      </c>
      <c r="AM7" t="s">
        <v>471</v>
      </c>
      <c r="AN7" t="s">
        <v>470</v>
      </c>
      <c r="AO7">
        <v>0.92653419191971875</v>
      </c>
      <c r="AP7" t="str">
        <f t="shared" si="2"/>
        <v/>
      </c>
      <c r="AQ7" t="str">
        <f t="shared" si="3"/>
        <v>A</v>
      </c>
      <c r="AR7" t="s">
        <v>36</v>
      </c>
      <c r="AS7">
        <f>COUNTA(AQ83:AQ99)</f>
        <v>17</v>
      </c>
      <c r="AT7">
        <f t="shared" si="4"/>
        <v>2.89</v>
      </c>
      <c r="AV7">
        <v>6</v>
      </c>
      <c r="AW7" t="s">
        <v>578</v>
      </c>
      <c r="AX7">
        <f>COUNTIF(AW:AW,"TAIL")</f>
        <v>89</v>
      </c>
      <c r="AZ7">
        <v>6</v>
      </c>
      <c r="BA7" t="s">
        <v>578</v>
      </c>
      <c r="BB7" t="s">
        <v>577</v>
      </c>
      <c r="BC7" t="str">
        <f t="shared" si="5"/>
        <v>HEADTAIL</v>
      </c>
      <c r="BG7">
        <v>6</v>
      </c>
      <c r="BH7">
        <v>2</v>
      </c>
      <c r="BJ7" s="5"/>
      <c r="BM7">
        <v>6</v>
      </c>
      <c r="BN7" t="s">
        <v>20</v>
      </c>
      <c r="BO7" t="s">
        <v>595</v>
      </c>
      <c r="BP7">
        <f>COUNTIFS(BN:BN,"M",BO:BO,"YES")</f>
        <v>21</v>
      </c>
      <c r="BV7">
        <v>6</v>
      </c>
      <c r="BW7" t="s">
        <v>20</v>
      </c>
      <c r="BX7">
        <v>5</v>
      </c>
      <c r="BZ7" s="5">
        <f>COUNTIFS(BW:BW,"M",BX:BX,"3")/100</f>
        <v>0.03</v>
      </c>
      <c r="CC7" t="s">
        <v>28</v>
      </c>
      <c r="CD7">
        <v>78</v>
      </c>
      <c r="CF7" s="5"/>
      <c r="CS7" s="16">
        <v>2</v>
      </c>
      <c r="CT7" s="17">
        <v>6</v>
      </c>
      <c r="CU7" s="17">
        <f>CS7-CT18</f>
        <v>-2.5384615384615383</v>
      </c>
      <c r="CV7" s="17">
        <f>CT7-CU18</f>
        <v>-0.76923076923076916</v>
      </c>
      <c r="CW7" s="18">
        <f t="shared" si="6"/>
        <v>1.9526627218934909</v>
      </c>
      <c r="CX7" s="14">
        <f>Table1[[#This Row],[X-X_]]*Table1[[#This Row],[X-X_]]</f>
        <v>6.4437869822485201</v>
      </c>
      <c r="CY7" s="17">
        <f>Table1[[#This Row],[Y-Y_]]*Table1[[#This Row],[Y-Y_]]</f>
        <v>0.59171597633136086</v>
      </c>
      <c r="DA7" s="16">
        <v>0.45137402686481021</v>
      </c>
      <c r="DB7" s="17">
        <v>30</v>
      </c>
      <c r="DC7" s="17">
        <v>31</v>
      </c>
      <c r="DD7" s="18">
        <f t="shared" si="7"/>
        <v>30.451374026864809</v>
      </c>
      <c r="DF7" s="16">
        <v>4</v>
      </c>
      <c r="DG7" s="17">
        <v>6</v>
      </c>
      <c r="DH7" s="17">
        <v>0.5</v>
      </c>
      <c r="DI7" s="18">
        <f t="shared" si="8"/>
        <v>0.890625</v>
      </c>
    </row>
    <row r="8" spans="1:113" ht="18.75" x14ac:dyDescent="0.3">
      <c r="A8">
        <v>7</v>
      </c>
      <c r="B8" t="s">
        <v>27</v>
      </c>
      <c r="C8" t="s">
        <v>28</v>
      </c>
      <c r="D8" t="s">
        <v>20</v>
      </c>
      <c r="E8" t="s">
        <v>54</v>
      </c>
      <c r="F8" t="s">
        <v>30</v>
      </c>
      <c r="G8" t="s">
        <v>55</v>
      </c>
      <c r="H8">
        <v>2024</v>
      </c>
      <c r="I8">
        <v>12</v>
      </c>
      <c r="J8" t="s">
        <v>51</v>
      </c>
      <c r="K8" t="s">
        <v>52</v>
      </c>
      <c r="L8" t="s">
        <v>53</v>
      </c>
      <c r="M8">
        <v>1</v>
      </c>
      <c r="N8">
        <v>8</v>
      </c>
      <c r="O8">
        <v>1</v>
      </c>
      <c r="P8">
        <v>1</v>
      </c>
      <c r="Q8">
        <v>67</v>
      </c>
      <c r="R8">
        <v>2</v>
      </c>
      <c r="T8" s="1" t="s">
        <v>436</v>
      </c>
      <c r="U8">
        <f>MAX(Q:Q)</f>
        <v>95</v>
      </c>
      <c r="Z8" s="3">
        <v>7</v>
      </c>
      <c r="AA8" s="4">
        <v>46180</v>
      </c>
      <c r="AB8" s="3" t="s">
        <v>449</v>
      </c>
      <c r="AC8" s="3">
        <v>8</v>
      </c>
      <c r="AD8" s="3">
        <v>4000</v>
      </c>
      <c r="AE8">
        <v>0.82070258966987431</v>
      </c>
      <c r="AG8">
        <f t="shared" si="0"/>
        <v>2</v>
      </c>
      <c r="AJ8" t="str">
        <f t="shared" si="1"/>
        <v>_x0003_</v>
      </c>
      <c r="AL8">
        <v>7</v>
      </c>
      <c r="AM8" t="s">
        <v>473</v>
      </c>
      <c r="AN8" t="s">
        <v>470</v>
      </c>
      <c r="AO8">
        <v>0.91914509639102082</v>
      </c>
      <c r="AP8" t="str">
        <f t="shared" si="2"/>
        <v/>
      </c>
      <c r="AQ8" t="str">
        <f t="shared" si="3"/>
        <v>A</v>
      </c>
      <c r="AV8">
        <v>7</v>
      </c>
      <c r="AW8" t="s">
        <v>578</v>
      </c>
      <c r="AZ8">
        <v>7</v>
      </c>
      <c r="BA8" t="s">
        <v>577</v>
      </c>
      <c r="BB8" t="s">
        <v>578</v>
      </c>
      <c r="BC8" t="str">
        <f t="shared" si="5"/>
        <v>TAILHEAD</v>
      </c>
      <c r="BG8">
        <v>7</v>
      </c>
      <c r="BH8">
        <v>4</v>
      </c>
      <c r="BM8">
        <v>7</v>
      </c>
      <c r="BN8" t="s">
        <v>36</v>
      </c>
      <c r="BO8" t="s">
        <v>594</v>
      </c>
      <c r="BV8">
        <v>7</v>
      </c>
      <c r="BW8" t="s">
        <v>36</v>
      </c>
      <c r="BX8">
        <v>3</v>
      </c>
      <c r="CC8" t="s">
        <v>28</v>
      </c>
      <c r="CD8">
        <v>82</v>
      </c>
      <c r="CN8" s="11" t="s">
        <v>624</v>
      </c>
      <c r="CS8" s="16">
        <v>10</v>
      </c>
      <c r="CT8" s="17">
        <v>7</v>
      </c>
      <c r="CU8" s="17">
        <f>CS8-CT18</f>
        <v>5.4615384615384617</v>
      </c>
      <c r="CV8" s="17">
        <f>CT8-CU18</f>
        <v>0.23076923076923084</v>
      </c>
      <c r="CW8" s="18">
        <f t="shared" si="6"/>
        <v>1.2603550295857993</v>
      </c>
      <c r="CX8" s="14">
        <f>Table1[[#This Row],[X-X_]]*Table1[[#This Row],[X-X_]]</f>
        <v>29.828402366863905</v>
      </c>
      <c r="CY8" s="17">
        <f>Table1[[#This Row],[Y-Y_]]*Table1[[#This Row],[Y-Y_]]</f>
        <v>5.3254437869822514E-2</v>
      </c>
      <c r="DA8" s="16">
        <v>0.46751878803226377</v>
      </c>
      <c r="DB8" s="17">
        <v>31</v>
      </c>
      <c r="DC8" s="17">
        <v>22</v>
      </c>
      <c r="DD8" s="18">
        <f t="shared" si="7"/>
        <v>26.792330907709626</v>
      </c>
      <c r="DF8" s="16">
        <v>3</v>
      </c>
      <c r="DG8" s="17">
        <v>9</v>
      </c>
      <c r="DH8" s="17">
        <v>0.5</v>
      </c>
      <c r="DI8" s="18">
        <f t="shared" si="8"/>
        <v>0.25390625</v>
      </c>
    </row>
    <row r="9" spans="1:113" ht="18.75" x14ac:dyDescent="0.3">
      <c r="A9">
        <v>8</v>
      </c>
      <c r="B9" t="s">
        <v>34</v>
      </c>
      <c r="C9" t="s">
        <v>35</v>
      </c>
      <c r="D9" t="s">
        <v>36</v>
      </c>
      <c r="E9" t="s">
        <v>54</v>
      </c>
      <c r="F9" t="s">
        <v>38</v>
      </c>
      <c r="G9" t="s">
        <v>56</v>
      </c>
      <c r="H9">
        <v>2024</v>
      </c>
      <c r="I9">
        <v>5</v>
      </c>
      <c r="J9" t="s">
        <v>47</v>
      </c>
      <c r="K9" t="s">
        <v>48</v>
      </c>
      <c r="L9" t="s">
        <v>33</v>
      </c>
      <c r="M9">
        <v>0</v>
      </c>
      <c r="N9">
        <v>8</v>
      </c>
      <c r="O9">
        <v>1</v>
      </c>
      <c r="P9">
        <v>0</v>
      </c>
      <c r="Q9">
        <v>74</v>
      </c>
      <c r="R9">
        <v>3</v>
      </c>
      <c r="T9" s="1" t="s">
        <v>437</v>
      </c>
      <c r="U9">
        <f>AVERAGE(Q:Q)</f>
        <v>38.234939759036145</v>
      </c>
      <c r="Z9" s="3">
        <v>8</v>
      </c>
      <c r="AA9" s="4">
        <v>46181</v>
      </c>
      <c r="AB9" s="3" t="s">
        <v>451</v>
      </c>
      <c r="AC9" s="3">
        <v>2</v>
      </c>
      <c r="AD9" s="3">
        <v>30000</v>
      </c>
      <c r="AE9">
        <v>0.84821378530828906</v>
      </c>
      <c r="AG9">
        <f t="shared" si="0"/>
        <v>3</v>
      </c>
      <c r="AJ9" t="str">
        <f t="shared" si="1"/>
        <v>_x0003_</v>
      </c>
      <c r="AL9">
        <v>8</v>
      </c>
      <c r="AM9" t="s">
        <v>474</v>
      </c>
      <c r="AN9" t="s">
        <v>470</v>
      </c>
      <c r="AO9">
        <v>0.90986998533330887</v>
      </c>
      <c r="AP9" t="str">
        <f t="shared" si="2"/>
        <v/>
      </c>
      <c r="AQ9" t="str">
        <f t="shared" si="3"/>
        <v>A</v>
      </c>
      <c r="AV9">
        <v>8</v>
      </c>
      <c r="AW9" t="s">
        <v>577</v>
      </c>
      <c r="AX9" s="1" t="s">
        <v>581</v>
      </c>
      <c r="AZ9">
        <v>8</v>
      </c>
      <c r="BA9" t="s">
        <v>577</v>
      </c>
      <c r="BB9" t="s">
        <v>578</v>
      </c>
      <c r="BC9" t="str">
        <f t="shared" si="5"/>
        <v>TAILHEAD</v>
      </c>
      <c r="BG9">
        <v>8</v>
      </c>
      <c r="BH9">
        <v>4</v>
      </c>
      <c r="BM9">
        <v>8</v>
      </c>
      <c r="BN9" t="s">
        <v>36</v>
      </c>
      <c r="BO9" t="s">
        <v>595</v>
      </c>
      <c r="BV9">
        <v>8</v>
      </c>
      <c r="BW9" t="s">
        <v>36</v>
      </c>
      <c r="BX9">
        <v>1</v>
      </c>
      <c r="CC9" t="s">
        <v>35</v>
      </c>
      <c r="CD9">
        <v>62</v>
      </c>
      <c r="CH9" t="s">
        <v>612</v>
      </c>
      <c r="CI9">
        <f>CI3/CI2</f>
        <v>0.01</v>
      </c>
      <c r="CJ9" s="5">
        <f>CI3/CI2</f>
        <v>0.01</v>
      </c>
      <c r="CM9" s="11"/>
      <c r="CN9">
        <f>_xlfn.COVARIANCE.S(BH2:BH99,BX2:BX99)</f>
        <v>-0.24658110666947175</v>
      </c>
      <c r="CS9" s="16">
        <v>7</v>
      </c>
      <c r="CT9" s="17">
        <v>7</v>
      </c>
      <c r="CU9" s="17">
        <f>CS9-CT18</f>
        <v>2.4615384615384617</v>
      </c>
      <c r="CV9" s="17">
        <f>CT9-CU18</f>
        <v>0.23076923076923084</v>
      </c>
      <c r="CW9" s="18">
        <f t="shared" si="6"/>
        <v>0.56804733727810675</v>
      </c>
      <c r="CX9" s="14">
        <f>Table1[[#This Row],[X-X_]]*Table1[[#This Row],[X-X_]]</f>
        <v>6.0591715976331368</v>
      </c>
      <c r="CY9" s="17">
        <f>Table1[[#This Row],[Y-Y_]]*Table1[[#This Row],[Y-Y_]]</f>
        <v>5.3254437869822514E-2</v>
      </c>
      <c r="DA9" s="16">
        <v>0.34656160348150944</v>
      </c>
      <c r="DB9" s="17">
        <v>14</v>
      </c>
      <c r="DC9" s="17">
        <v>46</v>
      </c>
      <c r="DD9" s="18">
        <f t="shared" si="7"/>
        <v>25.089971311408302</v>
      </c>
      <c r="DF9" s="16">
        <v>1</v>
      </c>
      <c r="DG9" s="17">
        <v>2</v>
      </c>
      <c r="DH9" s="17">
        <v>0.5</v>
      </c>
      <c r="DI9" s="18">
        <f t="shared" si="8"/>
        <v>0.75</v>
      </c>
    </row>
    <row r="10" spans="1:113" ht="15.75" customHeight="1" x14ac:dyDescent="0.25">
      <c r="A10">
        <v>9</v>
      </c>
      <c r="B10" t="s">
        <v>57</v>
      </c>
      <c r="C10" t="s">
        <v>58</v>
      </c>
      <c r="D10" t="s">
        <v>36</v>
      </c>
      <c r="E10" t="s">
        <v>49</v>
      </c>
      <c r="F10" t="s">
        <v>59</v>
      </c>
      <c r="G10" t="s">
        <v>60</v>
      </c>
      <c r="H10">
        <v>2025</v>
      </c>
      <c r="I10">
        <v>7</v>
      </c>
      <c r="J10" t="s">
        <v>32</v>
      </c>
      <c r="K10" t="s">
        <v>25</v>
      </c>
      <c r="L10" t="s">
        <v>61</v>
      </c>
      <c r="M10">
        <v>0</v>
      </c>
      <c r="N10">
        <v>8</v>
      </c>
      <c r="O10">
        <v>0</v>
      </c>
      <c r="P10">
        <v>0</v>
      </c>
      <c r="Q10">
        <v>0</v>
      </c>
      <c r="R10">
        <v>0</v>
      </c>
      <c r="T10" s="1" t="s">
        <v>438</v>
      </c>
      <c r="U10">
        <f>MEDIAN(Q:Q)</f>
        <v>0</v>
      </c>
      <c r="Z10" s="3">
        <v>9</v>
      </c>
      <c r="AA10" s="4">
        <v>46182</v>
      </c>
      <c r="AB10" s="3" t="s">
        <v>450</v>
      </c>
      <c r="AC10" s="3">
        <v>4</v>
      </c>
      <c r="AD10" s="3">
        <v>6000</v>
      </c>
      <c r="AE10">
        <v>0.71560008693643684</v>
      </c>
      <c r="AG10">
        <f t="shared" si="0"/>
        <v>0</v>
      </c>
      <c r="AJ10" t="str">
        <f t="shared" si="1"/>
        <v>_x0003_</v>
      </c>
      <c r="AL10">
        <v>9</v>
      </c>
      <c r="AM10" t="s">
        <v>475</v>
      </c>
      <c r="AN10" t="s">
        <v>470</v>
      </c>
      <c r="AO10">
        <v>0.89139346077141091</v>
      </c>
      <c r="AP10" t="str">
        <f t="shared" si="2"/>
        <v/>
      </c>
      <c r="AQ10" t="str">
        <f t="shared" si="3"/>
        <v>A</v>
      </c>
      <c r="AV10">
        <v>9</v>
      </c>
      <c r="AW10" t="s">
        <v>577</v>
      </c>
      <c r="AX10" s="5">
        <f>AX4/200</f>
        <v>0.54500000000000004</v>
      </c>
      <c r="AZ10">
        <v>9</v>
      </c>
      <c r="BA10" t="s">
        <v>578</v>
      </c>
      <c r="BB10" t="s">
        <v>578</v>
      </c>
      <c r="BC10" t="str">
        <f t="shared" si="5"/>
        <v>HEADHEAD</v>
      </c>
      <c r="BG10">
        <v>9</v>
      </c>
      <c r="BH10">
        <v>1</v>
      </c>
      <c r="BM10">
        <v>9</v>
      </c>
      <c r="BN10" t="s">
        <v>20</v>
      </c>
      <c r="BO10" t="s">
        <v>594</v>
      </c>
      <c r="BV10">
        <v>9</v>
      </c>
      <c r="BW10" t="s">
        <v>20</v>
      </c>
      <c r="BX10">
        <v>6</v>
      </c>
      <c r="CC10" t="s">
        <v>58</v>
      </c>
      <c r="CD10">
        <v>81</v>
      </c>
      <c r="CF10" t="s">
        <v>623</v>
      </c>
      <c r="CH10" t="s">
        <v>613</v>
      </c>
      <c r="CI10">
        <f>CI4/CI2</f>
        <v>0.99</v>
      </c>
      <c r="CJ10" s="5">
        <f>CI4/CI2</f>
        <v>0.99</v>
      </c>
      <c r="CS10" s="16">
        <v>1</v>
      </c>
      <c r="CT10" s="17">
        <v>8</v>
      </c>
      <c r="CU10" s="17">
        <f>CS10-CT18</f>
        <v>-3.5384615384615383</v>
      </c>
      <c r="CV10" s="17">
        <f>CT10-CU18</f>
        <v>1.2307692307692308</v>
      </c>
      <c r="CW10" s="18">
        <f t="shared" si="6"/>
        <v>-4.3550295857988166</v>
      </c>
      <c r="CX10" s="14">
        <f>Table1[[#This Row],[X-X_]]*Table1[[#This Row],[X-X_]]</f>
        <v>12.520710059171597</v>
      </c>
      <c r="CY10" s="17">
        <f>Table1[[#This Row],[Y-Y_]]*Table1[[#This Row],[Y-Y_]]</f>
        <v>1.5147928994082842</v>
      </c>
      <c r="DA10" s="16">
        <v>0.57606236035830516</v>
      </c>
      <c r="DB10" s="17">
        <v>25</v>
      </c>
      <c r="DC10" s="17">
        <v>18</v>
      </c>
      <c r="DD10" s="18">
        <f t="shared" si="7"/>
        <v>20.967563477491865</v>
      </c>
      <c r="DF10" s="16">
        <v>3</v>
      </c>
      <c r="DG10" s="17">
        <v>6</v>
      </c>
      <c r="DH10" s="17">
        <v>0.5</v>
      </c>
      <c r="DI10" s="18">
        <f t="shared" si="8"/>
        <v>0.65625</v>
      </c>
    </row>
    <row r="11" spans="1:113" ht="18.75" x14ac:dyDescent="0.3">
      <c r="A11">
        <v>10</v>
      </c>
      <c r="B11" t="s">
        <v>62</v>
      </c>
      <c r="C11" t="s">
        <v>63</v>
      </c>
      <c r="D11" t="s">
        <v>20</v>
      </c>
      <c r="E11" t="s">
        <v>54</v>
      </c>
      <c r="F11" t="s">
        <v>38</v>
      </c>
      <c r="G11" t="s">
        <v>64</v>
      </c>
      <c r="H11">
        <v>2025</v>
      </c>
      <c r="I11">
        <v>12</v>
      </c>
      <c r="J11" t="s">
        <v>51</v>
      </c>
      <c r="K11" t="s">
        <v>52</v>
      </c>
      <c r="L11" t="s">
        <v>45</v>
      </c>
      <c r="M11">
        <v>1</v>
      </c>
      <c r="N11">
        <v>8</v>
      </c>
      <c r="O11">
        <v>0</v>
      </c>
      <c r="P11">
        <v>0</v>
      </c>
      <c r="Q11">
        <v>0</v>
      </c>
      <c r="R11">
        <v>0</v>
      </c>
      <c r="T11" s="1" t="s">
        <v>439</v>
      </c>
      <c r="U11">
        <f>MODE(Q:Q)</f>
        <v>0</v>
      </c>
      <c r="Z11" s="3">
        <v>10</v>
      </c>
      <c r="AA11" s="4">
        <v>46183</v>
      </c>
      <c r="AB11" s="3" t="s">
        <v>452</v>
      </c>
      <c r="AC11" s="3">
        <v>2</v>
      </c>
      <c r="AD11" s="3">
        <v>36000</v>
      </c>
      <c r="AE11">
        <v>0.71100435958000785</v>
      </c>
      <c r="AG11">
        <f t="shared" si="0"/>
        <v>1</v>
      </c>
      <c r="AJ11" t="str">
        <f t="shared" si="1"/>
        <v>_x0004_</v>
      </c>
      <c r="AL11">
        <v>10</v>
      </c>
      <c r="AM11" t="s">
        <v>476</v>
      </c>
      <c r="AN11" t="s">
        <v>470</v>
      </c>
      <c r="AO11">
        <v>0.88099516089714458</v>
      </c>
      <c r="AP11" t="str">
        <f t="shared" si="2"/>
        <v/>
      </c>
      <c r="AQ11" t="str">
        <f t="shared" si="3"/>
        <v>A</v>
      </c>
      <c r="AV11">
        <v>10</v>
      </c>
      <c r="AW11" t="s">
        <v>578</v>
      </c>
      <c r="AZ11">
        <v>10</v>
      </c>
      <c r="BA11" t="s">
        <v>578</v>
      </c>
      <c r="BB11" t="s">
        <v>578</v>
      </c>
      <c r="BC11" t="str">
        <f t="shared" si="5"/>
        <v>HEADHEAD</v>
      </c>
      <c r="BG11">
        <v>10</v>
      </c>
      <c r="BH11">
        <v>1</v>
      </c>
      <c r="BM11">
        <v>10</v>
      </c>
      <c r="BN11" t="s">
        <v>20</v>
      </c>
      <c r="BO11" t="s">
        <v>595</v>
      </c>
      <c r="BV11">
        <v>10</v>
      </c>
      <c r="BW11" t="s">
        <v>20</v>
      </c>
      <c r="BX11">
        <v>2</v>
      </c>
      <c r="CC11" t="s">
        <v>63</v>
      </c>
      <c r="CD11">
        <v>66</v>
      </c>
      <c r="CH11" t="s">
        <v>614</v>
      </c>
      <c r="CI11" s="8">
        <f>0.95*CI9</f>
        <v>9.4999999999999998E-3</v>
      </c>
      <c r="CJ11" s="5">
        <v>0.01</v>
      </c>
      <c r="CN11" s="11" t="s">
        <v>625</v>
      </c>
      <c r="CS11" s="16">
        <v>3</v>
      </c>
      <c r="CT11" s="17">
        <v>9</v>
      </c>
      <c r="CU11" s="17">
        <f>CS11-CT18</f>
        <v>-1.5384615384615383</v>
      </c>
      <c r="CV11" s="17">
        <f>CT11-CU18</f>
        <v>2.2307692307692308</v>
      </c>
      <c r="CW11" s="18">
        <f t="shared" si="6"/>
        <v>-3.4319526627218933</v>
      </c>
      <c r="CX11" s="14">
        <f>Table1[[#This Row],[X-X_]]*Table1[[#This Row],[X-X_]]</f>
        <v>2.3668639053254434</v>
      </c>
      <c r="CY11" s="17">
        <f>Table1[[#This Row],[Y-Y_]]*Table1[[#This Row],[Y-Y_]]</f>
        <v>4.9763313609467454</v>
      </c>
      <c r="DA11" s="16">
        <v>0.38932638270315167</v>
      </c>
      <c r="DB11" s="17">
        <v>40</v>
      </c>
      <c r="DC11" s="17">
        <v>43</v>
      </c>
      <c r="DD11" s="18">
        <f t="shared" si="7"/>
        <v>41.167979148109453</v>
      </c>
      <c r="DF11" s="16">
        <v>3</v>
      </c>
      <c r="DG11" s="17">
        <v>5</v>
      </c>
      <c r="DH11" s="17">
        <v>0.5</v>
      </c>
      <c r="DI11" s="18">
        <f t="shared" si="8"/>
        <v>0.8125</v>
      </c>
    </row>
    <row r="12" spans="1:113" x14ac:dyDescent="0.25">
      <c r="A12">
        <v>11</v>
      </c>
      <c r="B12" t="s">
        <v>65</v>
      </c>
      <c r="C12" t="s">
        <v>66</v>
      </c>
      <c r="D12" t="s">
        <v>36</v>
      </c>
      <c r="E12" t="s">
        <v>21</v>
      </c>
      <c r="F12" t="s">
        <v>38</v>
      </c>
      <c r="G12" t="s">
        <v>67</v>
      </c>
      <c r="H12">
        <v>2025</v>
      </c>
      <c r="I12">
        <v>1</v>
      </c>
      <c r="J12" t="s">
        <v>68</v>
      </c>
      <c r="K12" t="s">
        <v>41</v>
      </c>
      <c r="L12" t="s">
        <v>61</v>
      </c>
      <c r="M12">
        <v>0</v>
      </c>
      <c r="N12">
        <v>8</v>
      </c>
      <c r="O12">
        <v>0</v>
      </c>
      <c r="P12">
        <v>0</v>
      </c>
      <c r="Q12">
        <v>0</v>
      </c>
      <c r="R12">
        <v>0</v>
      </c>
      <c r="T12" s="1" t="s">
        <v>440</v>
      </c>
      <c r="U12">
        <f>AVEDEV(Q:Q)</f>
        <v>38.38849373397202</v>
      </c>
      <c r="Z12" s="3"/>
      <c r="AA12" s="4"/>
      <c r="AB12" s="3"/>
      <c r="AC12" s="3"/>
      <c r="AD12" s="3"/>
      <c r="AL12">
        <v>11</v>
      </c>
      <c r="AM12" t="s">
        <v>477</v>
      </c>
      <c r="AN12" t="s">
        <v>470</v>
      </c>
      <c r="AO12">
        <v>0.87772056222628925</v>
      </c>
      <c r="AP12" t="str">
        <f t="shared" si="2"/>
        <v/>
      </c>
      <c r="AQ12" t="str">
        <f t="shared" si="3"/>
        <v>A</v>
      </c>
      <c r="AV12">
        <v>11</v>
      </c>
      <c r="AW12" t="s">
        <v>578</v>
      </c>
      <c r="AX12" s="1" t="s">
        <v>582</v>
      </c>
      <c r="AZ12">
        <v>11</v>
      </c>
      <c r="BA12" t="s">
        <v>578</v>
      </c>
      <c r="BB12" t="s">
        <v>577</v>
      </c>
      <c r="BC12" t="str">
        <f t="shared" si="5"/>
        <v>HEADTAIL</v>
      </c>
      <c r="BG12">
        <v>11</v>
      </c>
      <c r="BH12">
        <v>4</v>
      </c>
      <c r="BM12">
        <v>11</v>
      </c>
      <c r="BN12" t="s">
        <v>20</v>
      </c>
      <c r="BO12" t="s">
        <v>595</v>
      </c>
      <c r="BV12">
        <v>11</v>
      </c>
      <c r="BW12" t="s">
        <v>20</v>
      </c>
      <c r="BX12">
        <v>6</v>
      </c>
      <c r="CC12" t="s">
        <v>66</v>
      </c>
      <c r="CD12">
        <v>94</v>
      </c>
      <c r="CH12" t="s">
        <v>611</v>
      </c>
      <c r="CI12">
        <f>0.05*CI10</f>
        <v>4.9500000000000002E-2</v>
      </c>
      <c r="CJ12" s="5">
        <v>4.9500000000000002E-2</v>
      </c>
      <c r="CN12">
        <f>_xlfn.COVARIANCE.P(BH2:BH99,BX2:BX99)</f>
        <v>-0.24406497292794652</v>
      </c>
      <c r="CS12" s="16">
        <v>1</v>
      </c>
      <c r="CT12" s="17">
        <v>7</v>
      </c>
      <c r="CU12" s="17">
        <f>CS12-CT18</f>
        <v>-3.5384615384615383</v>
      </c>
      <c r="CV12" s="17">
        <f>CT12-CU18</f>
        <v>0.23076923076923084</v>
      </c>
      <c r="CW12" s="18">
        <f t="shared" si="6"/>
        <v>-0.81656804733727828</v>
      </c>
      <c r="CX12" s="14">
        <f>Table1[[#This Row],[X-X_]]*Table1[[#This Row],[X-X_]]</f>
        <v>12.520710059171597</v>
      </c>
      <c r="CY12" s="17">
        <f>Table1[[#This Row],[Y-Y_]]*Table1[[#This Row],[Y-Y_]]</f>
        <v>5.3254437869822514E-2</v>
      </c>
      <c r="DA12" s="16">
        <v>0.50812487298423248</v>
      </c>
      <c r="DB12" s="17">
        <v>19</v>
      </c>
      <c r="DC12" s="17">
        <v>42</v>
      </c>
      <c r="DD12" s="18">
        <f t="shared" si="7"/>
        <v>30.686872078637347</v>
      </c>
      <c r="DF12" s="16">
        <v>2</v>
      </c>
      <c r="DG12" s="17">
        <v>5</v>
      </c>
      <c r="DH12" s="17">
        <v>0.5</v>
      </c>
      <c r="DI12" s="18">
        <f t="shared" si="8"/>
        <v>0.49999999999999989</v>
      </c>
    </row>
    <row r="13" spans="1:113" x14ac:dyDescent="0.25">
      <c r="A13">
        <v>12</v>
      </c>
      <c r="B13" t="s">
        <v>69</v>
      </c>
      <c r="C13" t="s">
        <v>70</v>
      </c>
      <c r="D13" t="s">
        <v>36</v>
      </c>
      <c r="E13" t="s">
        <v>49</v>
      </c>
      <c r="F13" t="s">
        <v>71</v>
      </c>
      <c r="G13" t="s">
        <v>72</v>
      </c>
      <c r="H13">
        <v>2025</v>
      </c>
      <c r="I13">
        <v>12</v>
      </c>
      <c r="J13" t="s">
        <v>51</v>
      </c>
      <c r="K13" t="s">
        <v>52</v>
      </c>
      <c r="L13" t="s">
        <v>61</v>
      </c>
      <c r="M13">
        <v>0</v>
      </c>
      <c r="N13">
        <v>8</v>
      </c>
      <c r="O13">
        <v>1</v>
      </c>
      <c r="P13">
        <v>0</v>
      </c>
      <c r="Q13">
        <v>70</v>
      </c>
      <c r="R13">
        <v>10</v>
      </c>
      <c r="T13" s="1" t="s">
        <v>441</v>
      </c>
      <c r="U13">
        <f>_xlfn.QUARTILE.INC(I:I,1)</f>
        <v>4</v>
      </c>
      <c r="Z13" s="3"/>
      <c r="AA13" s="4"/>
      <c r="AB13" s="3"/>
      <c r="AC13" s="3"/>
      <c r="AD13" s="3"/>
      <c r="AG13" t="s">
        <v>456</v>
      </c>
      <c r="AL13">
        <v>12</v>
      </c>
      <c r="AM13" t="s">
        <v>478</v>
      </c>
      <c r="AN13" t="s">
        <v>470</v>
      </c>
      <c r="AO13">
        <v>0.87702314085796473</v>
      </c>
      <c r="AP13" t="str">
        <f t="shared" si="2"/>
        <v>selected</v>
      </c>
      <c r="AQ13" t="str">
        <f t="shared" si="3"/>
        <v>A</v>
      </c>
      <c r="AV13">
        <v>12</v>
      </c>
      <c r="AW13" t="s">
        <v>578</v>
      </c>
      <c r="AX13" s="5">
        <f>AX7/200</f>
        <v>0.44500000000000001</v>
      </c>
      <c r="AZ13">
        <v>12</v>
      </c>
      <c r="BA13" t="s">
        <v>577</v>
      </c>
      <c r="BB13" t="s">
        <v>577</v>
      </c>
      <c r="BC13" t="str">
        <f t="shared" si="5"/>
        <v>TAILTAIL</v>
      </c>
      <c r="BG13">
        <v>12</v>
      </c>
      <c r="BH13">
        <v>1</v>
      </c>
      <c r="BM13">
        <v>12</v>
      </c>
      <c r="BN13" t="s">
        <v>36</v>
      </c>
      <c r="BO13" t="s">
        <v>595</v>
      </c>
      <c r="BV13">
        <v>12</v>
      </c>
      <c r="BW13" t="s">
        <v>36</v>
      </c>
      <c r="BX13">
        <v>2</v>
      </c>
      <c r="CC13" t="s">
        <v>70</v>
      </c>
      <c r="CD13">
        <v>94</v>
      </c>
      <c r="CI13" s="8">
        <f>CI12+CI11</f>
        <v>5.9000000000000004E-2</v>
      </c>
      <c r="CS13" s="16">
        <v>5</v>
      </c>
      <c r="CT13" s="17">
        <v>10</v>
      </c>
      <c r="CU13" s="17">
        <f>CS13-CT18</f>
        <v>0.46153846153846168</v>
      </c>
      <c r="CV13" s="17">
        <f>CT13-CU18</f>
        <v>3.2307692307692308</v>
      </c>
      <c r="CW13" s="18">
        <f t="shared" si="6"/>
        <v>1.4911242603550301</v>
      </c>
      <c r="CX13" s="14">
        <f>Table1[[#This Row],[X-X_]]*Table1[[#This Row],[X-X_]]</f>
        <v>0.21301775147929006</v>
      </c>
      <c r="CY13" s="17">
        <f>Table1[[#This Row],[Y-Y_]]*Table1[[#This Row],[Y-Y_]]</f>
        <v>10.437869822485208</v>
      </c>
      <c r="DA13" s="16">
        <v>0.86649497119086782</v>
      </c>
      <c r="DB13" s="17">
        <v>40</v>
      </c>
      <c r="DC13" s="17">
        <v>27</v>
      </c>
      <c r="DD13" s="18">
        <f t="shared" si="7"/>
        <v>28.735565374518718</v>
      </c>
      <c r="DF13" s="16">
        <v>4</v>
      </c>
      <c r="DG13" s="17">
        <v>6</v>
      </c>
      <c r="DH13" s="17">
        <v>0.5</v>
      </c>
      <c r="DI13" s="18">
        <f t="shared" si="8"/>
        <v>0.890625</v>
      </c>
    </row>
    <row r="14" spans="1:113" x14ac:dyDescent="0.25">
      <c r="A14">
        <v>13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73</v>
      </c>
      <c r="H14">
        <v>2024</v>
      </c>
      <c r="I14">
        <v>11</v>
      </c>
      <c r="J14" t="s">
        <v>74</v>
      </c>
      <c r="K14" t="s">
        <v>52</v>
      </c>
      <c r="L14" t="s">
        <v>45</v>
      </c>
      <c r="M14">
        <v>1</v>
      </c>
      <c r="N14">
        <v>8</v>
      </c>
      <c r="O14">
        <v>1</v>
      </c>
      <c r="P14">
        <v>2</v>
      </c>
      <c r="Q14">
        <v>90</v>
      </c>
      <c r="R14">
        <v>0</v>
      </c>
      <c r="T14" s="1" t="s">
        <v>442</v>
      </c>
      <c r="U14">
        <f>_xlfn.QUARTILE.EXC(I:I,1)</f>
        <v>4</v>
      </c>
      <c r="Z14" s="3"/>
      <c r="AA14" s="4"/>
      <c r="AB14" s="3"/>
      <c r="AC14" s="3"/>
      <c r="AD14" s="3"/>
      <c r="AG14" t="s">
        <v>457</v>
      </c>
      <c r="AL14">
        <v>13</v>
      </c>
      <c r="AM14" t="s">
        <v>479</v>
      </c>
      <c r="AN14" t="s">
        <v>470</v>
      </c>
      <c r="AO14">
        <v>0.86079788210981301</v>
      </c>
      <c r="AP14" t="str">
        <f t="shared" si="2"/>
        <v/>
      </c>
      <c r="AQ14" t="str">
        <f t="shared" si="3"/>
        <v>A</v>
      </c>
      <c r="AV14">
        <v>13</v>
      </c>
      <c r="AW14" t="s">
        <v>578</v>
      </c>
      <c r="AZ14">
        <v>13</v>
      </c>
      <c r="BA14" t="s">
        <v>577</v>
      </c>
      <c r="BB14" t="s">
        <v>577</v>
      </c>
      <c r="BC14" t="str">
        <f t="shared" si="5"/>
        <v>TAILTAIL</v>
      </c>
      <c r="BG14">
        <v>13</v>
      </c>
      <c r="BH14">
        <v>6</v>
      </c>
      <c r="BM14">
        <v>13</v>
      </c>
      <c r="BN14" t="s">
        <v>36</v>
      </c>
      <c r="BO14" t="s">
        <v>594</v>
      </c>
      <c r="BV14">
        <v>13</v>
      </c>
      <c r="BW14" t="s">
        <v>36</v>
      </c>
      <c r="BX14">
        <v>6</v>
      </c>
      <c r="CC14" t="s">
        <v>19</v>
      </c>
      <c r="CD14">
        <v>75</v>
      </c>
      <c r="CS14" s="16">
        <v>10</v>
      </c>
      <c r="CT14" s="17">
        <v>3</v>
      </c>
      <c r="CU14" s="17">
        <f>CS14-CT18</f>
        <v>5.4615384615384617</v>
      </c>
      <c r="CV14" s="17">
        <f>CT14-CU18</f>
        <v>-3.7692307692307692</v>
      </c>
      <c r="CW14" s="18">
        <f t="shared" si="6"/>
        <v>-20.585798816568047</v>
      </c>
      <c r="CX14" s="14">
        <f>Table1[[#This Row],[X-X_]]*Table1[[#This Row],[X-X_]]</f>
        <v>29.828402366863905</v>
      </c>
      <c r="CY14" s="17">
        <f>Table1[[#This Row],[Y-Y_]]*Table1[[#This Row],[Y-Y_]]</f>
        <v>14.207100591715976</v>
      </c>
      <c r="DA14" s="20">
        <v>0.74740575620192473</v>
      </c>
      <c r="DB14" s="21">
        <v>19</v>
      </c>
      <c r="DC14" s="21">
        <v>40</v>
      </c>
      <c r="DD14" s="22">
        <f t="shared" si="7"/>
        <v>34.695520880240423</v>
      </c>
      <c r="DF14" s="20">
        <v>4</v>
      </c>
      <c r="DG14" s="21">
        <v>5</v>
      </c>
      <c r="DH14" s="21">
        <v>0.5</v>
      </c>
      <c r="DI14" s="22">
        <f t="shared" si="8"/>
        <v>0.96875</v>
      </c>
    </row>
    <row r="15" spans="1:113" x14ac:dyDescent="0.25">
      <c r="A15">
        <v>14</v>
      </c>
      <c r="B15" t="s">
        <v>69</v>
      </c>
      <c r="C15" t="s">
        <v>70</v>
      </c>
      <c r="D15" t="s">
        <v>36</v>
      </c>
      <c r="E15" t="s">
        <v>37</v>
      </c>
      <c r="F15" t="s">
        <v>71</v>
      </c>
      <c r="G15" t="s">
        <v>75</v>
      </c>
      <c r="H15">
        <v>2025</v>
      </c>
      <c r="I15">
        <v>6</v>
      </c>
      <c r="J15" t="s">
        <v>76</v>
      </c>
      <c r="K15" t="s">
        <v>48</v>
      </c>
      <c r="L15" t="s">
        <v>77</v>
      </c>
      <c r="M15">
        <v>0</v>
      </c>
      <c r="N15">
        <v>8</v>
      </c>
      <c r="O15">
        <v>0</v>
      </c>
      <c r="P15">
        <v>0</v>
      </c>
      <c r="Q15">
        <v>0</v>
      </c>
      <c r="R15">
        <v>0</v>
      </c>
      <c r="Z15" s="3"/>
      <c r="AA15" s="4"/>
      <c r="AB15" s="3"/>
      <c r="AC15" s="3"/>
      <c r="AD15" s="3"/>
      <c r="AL15">
        <v>14</v>
      </c>
      <c r="AM15" t="s">
        <v>480</v>
      </c>
      <c r="AN15" t="s">
        <v>470</v>
      </c>
      <c r="AO15">
        <v>0.85897891293700401</v>
      </c>
      <c r="AP15" t="str">
        <f t="shared" si="2"/>
        <v/>
      </c>
      <c r="AQ15" t="str">
        <f t="shared" si="3"/>
        <v>A</v>
      </c>
      <c r="AV15">
        <v>14</v>
      </c>
      <c r="AW15" t="s">
        <v>578</v>
      </c>
      <c r="AZ15">
        <v>14</v>
      </c>
      <c r="BA15" t="s">
        <v>577</v>
      </c>
      <c r="BB15" t="s">
        <v>577</v>
      </c>
      <c r="BC15" t="str">
        <f t="shared" si="5"/>
        <v>TAILTAIL</v>
      </c>
      <c r="BG15">
        <v>14</v>
      </c>
      <c r="BH15">
        <v>3</v>
      </c>
      <c r="BM15">
        <v>14</v>
      </c>
      <c r="BN15" t="s">
        <v>36</v>
      </c>
      <c r="BO15" t="s">
        <v>595</v>
      </c>
      <c r="BV15">
        <v>14</v>
      </c>
      <c r="BW15" t="s">
        <v>36</v>
      </c>
      <c r="BX15">
        <v>5</v>
      </c>
      <c r="CC15" t="s">
        <v>70</v>
      </c>
      <c r="CD15">
        <v>65</v>
      </c>
      <c r="CH15" t="s">
        <v>615</v>
      </c>
      <c r="CI15">
        <f>CI11/CI13</f>
        <v>0.16101694915254236</v>
      </c>
      <c r="CJ15" s="5">
        <v>0.16101699999999999</v>
      </c>
      <c r="CS15" s="16"/>
      <c r="CT15" s="17"/>
      <c r="CU15" s="17"/>
      <c r="CV15" s="17"/>
      <c r="CW15" s="18"/>
      <c r="CX15" s="17"/>
      <c r="CY15" s="17"/>
    </row>
    <row r="16" spans="1:113" x14ac:dyDescent="0.25">
      <c r="A16">
        <v>15</v>
      </c>
      <c r="B16" t="s">
        <v>69</v>
      </c>
      <c r="C16" t="s">
        <v>70</v>
      </c>
      <c r="D16" t="s">
        <v>36</v>
      </c>
      <c r="E16" t="s">
        <v>29</v>
      </c>
      <c r="F16" t="s">
        <v>71</v>
      </c>
      <c r="G16" t="s">
        <v>78</v>
      </c>
      <c r="H16">
        <v>2024</v>
      </c>
      <c r="I16">
        <v>6</v>
      </c>
      <c r="J16" t="s">
        <v>76</v>
      </c>
      <c r="K16" t="s">
        <v>48</v>
      </c>
      <c r="L16" t="s">
        <v>61</v>
      </c>
      <c r="M16">
        <v>0</v>
      </c>
      <c r="N16">
        <v>8</v>
      </c>
      <c r="O16">
        <v>1</v>
      </c>
      <c r="P16">
        <v>0</v>
      </c>
      <c r="Q16">
        <v>83</v>
      </c>
      <c r="R16">
        <v>9</v>
      </c>
      <c r="AL16">
        <v>15</v>
      </c>
      <c r="AM16" t="s">
        <v>481</v>
      </c>
      <c r="AN16" t="s">
        <v>470</v>
      </c>
      <c r="AO16">
        <v>0.85383854784127733</v>
      </c>
      <c r="AP16" t="str">
        <f t="shared" si="2"/>
        <v/>
      </c>
      <c r="AQ16" t="str">
        <f t="shared" si="3"/>
        <v>A</v>
      </c>
      <c r="AV16">
        <v>15</v>
      </c>
      <c r="AW16" t="s">
        <v>578</v>
      </c>
      <c r="AZ16">
        <v>15</v>
      </c>
      <c r="BA16" t="s">
        <v>578</v>
      </c>
      <c r="BB16" t="s">
        <v>578</v>
      </c>
      <c r="BC16" t="str">
        <f t="shared" si="5"/>
        <v>HEADHEAD</v>
      </c>
      <c r="BG16">
        <v>15</v>
      </c>
      <c r="BH16">
        <v>5</v>
      </c>
      <c r="BM16">
        <v>15</v>
      </c>
      <c r="BN16" t="s">
        <v>36</v>
      </c>
      <c r="BO16" t="s">
        <v>594</v>
      </c>
      <c r="BV16">
        <v>15</v>
      </c>
      <c r="BW16" t="s">
        <v>36</v>
      </c>
      <c r="BX16">
        <v>5</v>
      </c>
      <c r="CC16" t="s">
        <v>70</v>
      </c>
      <c r="CD16">
        <v>94</v>
      </c>
      <c r="CS16" s="16"/>
      <c r="CT16" s="17"/>
      <c r="CU16" s="17"/>
      <c r="CV16" s="17"/>
      <c r="CW16" s="19" t="s">
        <v>633</v>
      </c>
      <c r="CX16" s="30" t="s">
        <v>643</v>
      </c>
      <c r="CY16" s="30" t="s">
        <v>645</v>
      </c>
    </row>
    <row r="17" spans="1:112" x14ac:dyDescent="0.25">
      <c r="A17">
        <v>16</v>
      </c>
      <c r="B17" t="s">
        <v>79</v>
      </c>
      <c r="C17" t="s">
        <v>80</v>
      </c>
      <c r="D17" t="s">
        <v>20</v>
      </c>
      <c r="E17" t="s">
        <v>54</v>
      </c>
      <c r="F17" t="s">
        <v>81</v>
      </c>
      <c r="G17" t="s">
        <v>82</v>
      </c>
      <c r="H17">
        <v>2024</v>
      </c>
      <c r="I17">
        <v>1</v>
      </c>
      <c r="J17" t="s">
        <v>68</v>
      </c>
      <c r="K17" t="s">
        <v>41</v>
      </c>
      <c r="L17" t="s">
        <v>61</v>
      </c>
      <c r="M17">
        <v>0</v>
      </c>
      <c r="N17">
        <v>8</v>
      </c>
      <c r="O17">
        <v>1</v>
      </c>
      <c r="P17">
        <v>0</v>
      </c>
      <c r="Q17">
        <v>74</v>
      </c>
      <c r="R17">
        <v>5</v>
      </c>
      <c r="AL17">
        <v>16</v>
      </c>
      <c r="AM17" t="s">
        <v>482</v>
      </c>
      <c r="AN17" t="s">
        <v>470</v>
      </c>
      <c r="AO17">
        <v>0.85340203815995153</v>
      </c>
      <c r="AP17" t="str">
        <f t="shared" si="2"/>
        <v/>
      </c>
      <c r="AQ17" t="str">
        <f t="shared" si="3"/>
        <v>A</v>
      </c>
      <c r="AV17">
        <v>16</v>
      </c>
      <c r="AW17" t="s">
        <v>578</v>
      </c>
      <c r="AZ17">
        <v>16</v>
      </c>
      <c r="BA17" t="s">
        <v>577</v>
      </c>
      <c r="BB17" t="s">
        <v>578</v>
      </c>
      <c r="BC17" t="str">
        <f t="shared" si="5"/>
        <v>TAILHEAD</v>
      </c>
      <c r="BG17">
        <v>16</v>
      </c>
      <c r="BH17">
        <v>2</v>
      </c>
      <c r="BM17">
        <v>16</v>
      </c>
      <c r="BN17" t="s">
        <v>36</v>
      </c>
      <c r="BO17" t="s">
        <v>595</v>
      </c>
      <c r="BV17">
        <v>16</v>
      </c>
      <c r="BW17" t="s">
        <v>36</v>
      </c>
      <c r="BX17">
        <v>6</v>
      </c>
      <c r="CC17" t="s">
        <v>80</v>
      </c>
      <c r="CD17">
        <v>87</v>
      </c>
      <c r="CS17" s="16"/>
      <c r="CT17" s="17" t="s">
        <v>628</v>
      </c>
      <c r="CU17" s="17" t="s">
        <v>629</v>
      </c>
      <c r="CV17" s="17"/>
      <c r="CW17" s="18">
        <f>SUM(CW2:CW14)/12</f>
        <v>-4.8653846153846159</v>
      </c>
      <c r="CX17" s="17">
        <f>SUM(CX2:CX14)</f>
        <v>133.23076923076923</v>
      </c>
      <c r="CY17" s="17">
        <f>SUM(CY2:CY14)</f>
        <v>88.307692307692307</v>
      </c>
    </row>
    <row r="18" spans="1:112" x14ac:dyDescent="0.25">
      <c r="A18">
        <v>17</v>
      </c>
      <c r="B18" t="s">
        <v>62</v>
      </c>
      <c r="C18" t="s">
        <v>63</v>
      </c>
      <c r="D18" t="s">
        <v>20</v>
      </c>
      <c r="E18" t="s">
        <v>37</v>
      </c>
      <c r="F18" t="s">
        <v>38</v>
      </c>
      <c r="G18" t="s">
        <v>83</v>
      </c>
      <c r="H18">
        <v>2024</v>
      </c>
      <c r="I18">
        <v>2</v>
      </c>
      <c r="J18" t="s">
        <v>84</v>
      </c>
      <c r="K18" t="s">
        <v>41</v>
      </c>
      <c r="L18" t="s">
        <v>85</v>
      </c>
      <c r="M18">
        <v>0</v>
      </c>
      <c r="N18">
        <v>8</v>
      </c>
      <c r="O18">
        <v>1</v>
      </c>
      <c r="P18">
        <v>1</v>
      </c>
      <c r="Q18">
        <v>85</v>
      </c>
      <c r="R18">
        <v>3</v>
      </c>
      <c r="AL18">
        <v>17</v>
      </c>
      <c r="AM18" t="s">
        <v>483</v>
      </c>
      <c r="AN18" t="s">
        <v>464</v>
      </c>
      <c r="AO18">
        <v>0.84040668320387935</v>
      </c>
      <c r="AP18" t="str">
        <f t="shared" si="2"/>
        <v/>
      </c>
      <c r="AQ18" t="str">
        <f t="shared" si="3"/>
        <v>B</v>
      </c>
      <c r="AV18">
        <v>17</v>
      </c>
      <c r="AW18" t="s">
        <v>578</v>
      </c>
      <c r="AZ18">
        <v>17</v>
      </c>
      <c r="BA18" t="s">
        <v>577</v>
      </c>
      <c r="BB18" t="s">
        <v>577</v>
      </c>
      <c r="BC18" t="str">
        <f t="shared" si="5"/>
        <v>TAILTAIL</v>
      </c>
      <c r="BG18">
        <v>17</v>
      </c>
      <c r="BH18">
        <v>2</v>
      </c>
      <c r="BM18">
        <v>17</v>
      </c>
      <c r="BN18" t="s">
        <v>36</v>
      </c>
      <c r="BO18" t="s">
        <v>594</v>
      </c>
      <c r="BV18">
        <v>17</v>
      </c>
      <c r="BW18" t="s">
        <v>36</v>
      </c>
      <c r="BX18">
        <v>4</v>
      </c>
      <c r="CC18" t="s">
        <v>63</v>
      </c>
      <c r="CD18">
        <v>83</v>
      </c>
      <c r="CS18" s="20"/>
      <c r="CT18" s="21">
        <f>AVERAGE(CS2:CS14)</f>
        <v>4.5384615384615383</v>
      </c>
      <c r="CU18" s="21">
        <f>AVERAGE(CT2:CT14)</f>
        <v>6.7692307692307692</v>
      </c>
      <c r="CV18" s="21"/>
      <c r="CW18" s="22"/>
      <c r="CX18" s="21">
        <f>SQRT(CX17)</f>
        <v>11.542563373478581</v>
      </c>
      <c r="CY18" s="21">
        <f>SQRT(CY17)</f>
        <v>9.3972172640464322</v>
      </c>
    </row>
    <row r="19" spans="1:112" x14ac:dyDescent="0.25">
      <c r="A19">
        <v>18</v>
      </c>
      <c r="B19" t="s">
        <v>42</v>
      </c>
      <c r="C19" t="s">
        <v>43</v>
      </c>
      <c r="D19" t="s">
        <v>36</v>
      </c>
      <c r="E19" t="s">
        <v>49</v>
      </c>
      <c r="F19" t="s">
        <v>22</v>
      </c>
      <c r="G19" t="s">
        <v>86</v>
      </c>
      <c r="H19">
        <v>2025</v>
      </c>
      <c r="I19">
        <v>3</v>
      </c>
      <c r="J19" t="s">
        <v>40</v>
      </c>
      <c r="K19" t="s">
        <v>41</v>
      </c>
      <c r="L19" t="s">
        <v>53</v>
      </c>
      <c r="M19">
        <v>1</v>
      </c>
      <c r="N19">
        <v>8</v>
      </c>
      <c r="O19">
        <v>1</v>
      </c>
      <c r="P19">
        <v>1</v>
      </c>
      <c r="Q19">
        <v>64</v>
      </c>
      <c r="R19">
        <v>1</v>
      </c>
      <c r="AL19">
        <v>18</v>
      </c>
      <c r="AM19" t="s">
        <v>484</v>
      </c>
      <c r="AN19" t="s">
        <v>464</v>
      </c>
      <c r="AO19">
        <v>0.83525470426776616</v>
      </c>
      <c r="AP19" t="str">
        <f t="shared" si="2"/>
        <v/>
      </c>
      <c r="AQ19" t="str">
        <f t="shared" si="3"/>
        <v>B</v>
      </c>
      <c r="AV19">
        <v>18</v>
      </c>
      <c r="AW19" t="s">
        <v>577</v>
      </c>
      <c r="AZ19">
        <v>18</v>
      </c>
      <c r="BA19" t="s">
        <v>577</v>
      </c>
      <c r="BB19" t="s">
        <v>577</v>
      </c>
      <c r="BC19" t="str">
        <f t="shared" si="5"/>
        <v>TAILTAIL</v>
      </c>
      <c r="BG19">
        <v>18</v>
      </c>
      <c r="BH19">
        <v>6</v>
      </c>
      <c r="BM19">
        <v>18</v>
      </c>
      <c r="BN19" t="s">
        <v>36</v>
      </c>
      <c r="BO19" t="s">
        <v>595</v>
      </c>
      <c r="BV19">
        <v>18</v>
      </c>
      <c r="BW19" t="s">
        <v>36</v>
      </c>
      <c r="BX19">
        <v>3</v>
      </c>
      <c r="CC19" t="s">
        <v>43</v>
      </c>
      <c r="CD19">
        <v>77</v>
      </c>
      <c r="CF19" s="9"/>
      <c r="CG19" s="9"/>
      <c r="CH19" s="9"/>
      <c r="CI19" s="9"/>
      <c r="CJ19" s="9"/>
      <c r="CK19" s="9"/>
      <c r="CL19" s="9"/>
      <c r="CS19" s="20"/>
      <c r="CT19" s="21"/>
      <c r="CU19" s="21"/>
      <c r="CV19" s="21"/>
      <c r="CW19" s="22"/>
      <c r="CX19" s="31" t="s">
        <v>646</v>
      </c>
      <c r="CY19" s="21">
        <f>CW17/(CX18*CY18)</f>
        <v>-4.4855493792465041E-2</v>
      </c>
    </row>
    <row r="20" spans="1:112" x14ac:dyDescent="0.25">
      <c r="A20">
        <v>19</v>
      </c>
      <c r="B20" t="s">
        <v>57</v>
      </c>
      <c r="C20" t="s">
        <v>58</v>
      </c>
      <c r="D20" t="s">
        <v>36</v>
      </c>
      <c r="E20" t="s">
        <v>54</v>
      </c>
      <c r="F20" t="s">
        <v>59</v>
      </c>
      <c r="G20" t="s">
        <v>87</v>
      </c>
      <c r="H20">
        <v>2024</v>
      </c>
      <c r="I20">
        <v>6</v>
      </c>
      <c r="J20" t="s">
        <v>76</v>
      </c>
      <c r="K20" t="s">
        <v>48</v>
      </c>
      <c r="L20" t="s">
        <v>26</v>
      </c>
      <c r="M20">
        <v>0</v>
      </c>
      <c r="N20">
        <v>8</v>
      </c>
      <c r="O20">
        <v>1</v>
      </c>
      <c r="P20">
        <v>0</v>
      </c>
      <c r="Q20">
        <v>86</v>
      </c>
      <c r="R20">
        <v>10</v>
      </c>
      <c r="AL20">
        <v>19</v>
      </c>
      <c r="AM20" t="s">
        <v>485</v>
      </c>
      <c r="AN20" t="s">
        <v>464</v>
      </c>
      <c r="AO20">
        <v>0.81997906724032965</v>
      </c>
      <c r="AP20" t="str">
        <f t="shared" si="2"/>
        <v/>
      </c>
      <c r="AQ20" t="str">
        <f t="shared" si="3"/>
        <v>B</v>
      </c>
      <c r="AV20">
        <v>19</v>
      </c>
      <c r="AW20" t="s">
        <v>578</v>
      </c>
      <c r="AZ20">
        <v>19</v>
      </c>
      <c r="BA20" t="s">
        <v>577</v>
      </c>
      <c r="BB20" t="s">
        <v>578</v>
      </c>
      <c r="BC20" t="str">
        <f t="shared" si="5"/>
        <v>TAILHEAD</v>
      </c>
      <c r="BG20">
        <v>19</v>
      </c>
      <c r="BH20">
        <v>6</v>
      </c>
      <c r="BM20">
        <v>19</v>
      </c>
      <c r="BN20" t="s">
        <v>20</v>
      </c>
      <c r="BO20" t="s">
        <v>594</v>
      </c>
      <c r="BV20">
        <v>19</v>
      </c>
      <c r="BW20" t="s">
        <v>20</v>
      </c>
      <c r="BX20">
        <v>4</v>
      </c>
      <c r="CC20" t="s">
        <v>58</v>
      </c>
      <c r="CD20">
        <v>60</v>
      </c>
      <c r="CF20" s="9"/>
      <c r="CG20" s="9"/>
      <c r="CH20" s="9"/>
      <c r="CI20" s="9"/>
      <c r="CJ20" s="9"/>
      <c r="CK20" s="9"/>
      <c r="CL20" s="9"/>
    </row>
    <row r="21" spans="1:112" ht="18.75" x14ac:dyDescent="0.3">
      <c r="A21">
        <v>20</v>
      </c>
      <c r="B21" t="s">
        <v>57</v>
      </c>
      <c r="C21" t="s">
        <v>58</v>
      </c>
      <c r="D21" t="s">
        <v>36</v>
      </c>
      <c r="E21" t="s">
        <v>37</v>
      </c>
      <c r="F21" t="s">
        <v>59</v>
      </c>
      <c r="G21" t="s">
        <v>88</v>
      </c>
      <c r="H21">
        <v>2025</v>
      </c>
      <c r="I21">
        <v>4</v>
      </c>
      <c r="J21" t="s">
        <v>89</v>
      </c>
      <c r="K21" t="s">
        <v>48</v>
      </c>
      <c r="L21" t="s">
        <v>45</v>
      </c>
      <c r="M21">
        <v>1</v>
      </c>
      <c r="N21">
        <v>8</v>
      </c>
      <c r="O21">
        <v>0</v>
      </c>
      <c r="P21">
        <v>0</v>
      </c>
      <c r="Q21">
        <v>0</v>
      </c>
      <c r="R21">
        <v>0</v>
      </c>
      <c r="AL21">
        <v>20</v>
      </c>
      <c r="AM21" t="s">
        <v>486</v>
      </c>
      <c r="AN21" t="s">
        <v>464</v>
      </c>
      <c r="AO21">
        <v>0.81635088149811108</v>
      </c>
      <c r="AP21" t="str">
        <f t="shared" si="2"/>
        <v/>
      </c>
      <c r="AQ21" t="str">
        <f t="shared" si="3"/>
        <v>B</v>
      </c>
      <c r="AV21">
        <v>20</v>
      </c>
      <c r="AW21" t="s">
        <v>578</v>
      </c>
      <c r="AZ21">
        <v>20</v>
      </c>
      <c r="BA21" t="s">
        <v>578</v>
      </c>
      <c r="BB21" t="s">
        <v>577</v>
      </c>
      <c r="BC21" t="str">
        <f t="shared" si="5"/>
        <v>HEADTAIL</v>
      </c>
      <c r="BG21">
        <v>20</v>
      </c>
      <c r="BH21">
        <v>6</v>
      </c>
      <c r="BM21">
        <v>20</v>
      </c>
      <c r="BN21" t="s">
        <v>36</v>
      </c>
      <c r="BO21" t="s">
        <v>595</v>
      </c>
      <c r="BV21">
        <v>20</v>
      </c>
      <c r="BW21" t="s">
        <v>36</v>
      </c>
      <c r="BX21">
        <v>1</v>
      </c>
      <c r="CC21" t="s">
        <v>58</v>
      </c>
      <c r="CD21">
        <v>83</v>
      </c>
      <c r="CF21" s="9"/>
      <c r="CG21" s="9"/>
      <c r="CH21" s="9"/>
      <c r="CI21" s="9"/>
      <c r="CJ21" s="9"/>
      <c r="CK21" s="9"/>
      <c r="CL21" s="9"/>
      <c r="CS21" s="17" t="s">
        <v>636</v>
      </c>
      <c r="CT21" s="29" t="s">
        <v>634</v>
      </c>
      <c r="CU21" s="29" t="s">
        <v>620</v>
      </c>
      <c r="CW21" s="23" t="s">
        <v>638</v>
      </c>
      <c r="DB21" s="36" t="s">
        <v>647</v>
      </c>
      <c r="DC21" s="37" t="s">
        <v>648</v>
      </c>
      <c r="DD21" s="15" t="s">
        <v>634</v>
      </c>
    </row>
    <row r="22" spans="1:112" x14ac:dyDescent="0.25">
      <c r="A22">
        <v>21</v>
      </c>
      <c r="B22" t="s">
        <v>57</v>
      </c>
      <c r="C22" t="s">
        <v>58</v>
      </c>
      <c r="D22" t="s">
        <v>36</v>
      </c>
      <c r="E22" t="s">
        <v>21</v>
      </c>
      <c r="F22" t="s">
        <v>59</v>
      </c>
      <c r="G22" t="s">
        <v>90</v>
      </c>
      <c r="H22">
        <v>2024</v>
      </c>
      <c r="I22">
        <v>6</v>
      </c>
      <c r="J22" t="s">
        <v>76</v>
      </c>
      <c r="K22" t="s">
        <v>48</v>
      </c>
      <c r="L22" t="s">
        <v>33</v>
      </c>
      <c r="M22">
        <v>0</v>
      </c>
      <c r="N22">
        <v>8</v>
      </c>
      <c r="O22">
        <v>1</v>
      </c>
      <c r="P22">
        <v>2</v>
      </c>
      <c r="Q22">
        <v>89</v>
      </c>
      <c r="R22">
        <v>1</v>
      </c>
      <c r="AL22">
        <v>21</v>
      </c>
      <c r="AM22" t="s">
        <v>487</v>
      </c>
      <c r="AN22" t="s">
        <v>464</v>
      </c>
      <c r="AO22">
        <v>0.80758490315647291</v>
      </c>
      <c r="AP22" t="str">
        <f t="shared" si="2"/>
        <v/>
      </c>
      <c r="AQ22" t="str">
        <f t="shared" si="3"/>
        <v>B</v>
      </c>
      <c r="AV22">
        <v>21</v>
      </c>
      <c r="AW22" t="s">
        <v>578</v>
      </c>
      <c r="AZ22">
        <v>21</v>
      </c>
      <c r="BA22" t="s">
        <v>578</v>
      </c>
      <c r="BB22" t="s">
        <v>578</v>
      </c>
      <c r="BC22" t="str">
        <f t="shared" si="5"/>
        <v>HEADHEAD</v>
      </c>
      <c r="BG22">
        <v>21</v>
      </c>
      <c r="BH22">
        <v>3</v>
      </c>
      <c r="BM22">
        <v>21</v>
      </c>
      <c r="BN22" t="s">
        <v>36</v>
      </c>
      <c r="BO22" t="s">
        <v>594</v>
      </c>
      <c r="BV22">
        <v>21</v>
      </c>
      <c r="BW22" t="s">
        <v>36</v>
      </c>
      <c r="BX22">
        <v>4</v>
      </c>
      <c r="CC22" t="s">
        <v>58</v>
      </c>
      <c r="CD22">
        <v>81</v>
      </c>
      <c r="CF22" s="9"/>
      <c r="CG22" s="9"/>
      <c r="CH22" s="9"/>
      <c r="CI22" s="9"/>
      <c r="CJ22" s="9"/>
      <c r="CK22" s="9"/>
      <c r="CL22" s="9"/>
      <c r="CS22" s="30">
        <v>10</v>
      </c>
      <c r="CT22" s="17" t="s">
        <v>616</v>
      </c>
      <c r="CU22" s="17">
        <f>_xlfn.POISSON.DIST(0,10,TRUE)</f>
        <v>4.5399929762484854E-5</v>
      </c>
      <c r="CW22" s="24">
        <f t="shared" ref="CW22:CW33" si="9">(DF3-3)/4</f>
        <v>-0.25</v>
      </c>
      <c r="CY22" s="28" t="s">
        <v>626</v>
      </c>
      <c r="CZ22" s="15" t="s">
        <v>627</v>
      </c>
      <c r="DB22" s="38">
        <v>1</v>
      </c>
      <c r="DC22" s="39" t="s">
        <v>649</v>
      </c>
      <c r="DD22" s="18" t="s">
        <v>651</v>
      </c>
    </row>
    <row r="23" spans="1:112" x14ac:dyDescent="0.25">
      <c r="A23">
        <v>22</v>
      </c>
      <c r="B23" t="s">
        <v>62</v>
      </c>
      <c r="C23" t="s">
        <v>63</v>
      </c>
      <c r="D23" t="s">
        <v>20</v>
      </c>
      <c r="E23" t="s">
        <v>29</v>
      </c>
      <c r="F23" t="s">
        <v>38</v>
      </c>
      <c r="G23" t="s">
        <v>91</v>
      </c>
      <c r="H23">
        <v>2025</v>
      </c>
      <c r="I23">
        <v>6</v>
      </c>
      <c r="J23" t="s">
        <v>76</v>
      </c>
      <c r="K23" t="s">
        <v>48</v>
      </c>
      <c r="L23" t="s">
        <v>53</v>
      </c>
      <c r="M23">
        <v>1</v>
      </c>
      <c r="N23">
        <v>8</v>
      </c>
      <c r="O23">
        <v>1</v>
      </c>
      <c r="P23">
        <v>0</v>
      </c>
      <c r="Q23">
        <v>76</v>
      </c>
      <c r="R23">
        <v>9</v>
      </c>
      <c r="AL23">
        <v>22</v>
      </c>
      <c r="AM23" t="s">
        <v>488</v>
      </c>
      <c r="AN23" t="s">
        <v>464</v>
      </c>
      <c r="AO23">
        <v>0.78420989977817568</v>
      </c>
      <c r="AP23" t="str">
        <f t="shared" si="2"/>
        <v>selected</v>
      </c>
      <c r="AQ23" t="str">
        <f t="shared" si="3"/>
        <v>B</v>
      </c>
      <c r="AV23">
        <v>22</v>
      </c>
      <c r="AW23" t="s">
        <v>577</v>
      </c>
      <c r="AZ23">
        <v>22</v>
      </c>
      <c r="BA23" t="s">
        <v>577</v>
      </c>
      <c r="BB23" t="s">
        <v>578</v>
      </c>
      <c r="BC23" t="str">
        <f t="shared" si="5"/>
        <v>TAILHEAD</v>
      </c>
      <c r="BG23">
        <v>22</v>
      </c>
      <c r="BH23">
        <v>4</v>
      </c>
      <c r="BM23">
        <v>22</v>
      </c>
      <c r="BN23" t="s">
        <v>36</v>
      </c>
      <c r="BO23" t="s">
        <v>594</v>
      </c>
      <c r="BV23">
        <v>22</v>
      </c>
      <c r="BW23" t="s">
        <v>36</v>
      </c>
      <c r="BX23">
        <v>4</v>
      </c>
      <c r="CC23" t="s">
        <v>63</v>
      </c>
      <c r="CD23">
        <v>91</v>
      </c>
      <c r="CF23" s="9"/>
      <c r="CG23" s="9"/>
      <c r="CH23" s="9"/>
      <c r="CI23" s="9"/>
      <c r="CJ23" s="9"/>
      <c r="CK23" s="9"/>
      <c r="CL23" s="9"/>
      <c r="CS23" s="30">
        <v>10</v>
      </c>
      <c r="CT23" s="17" t="s">
        <v>617</v>
      </c>
      <c r="CU23" s="17">
        <f>_xlfn.POISSON.DIST(3,10,2.71828)</f>
        <v>1.0336050675925718E-2</v>
      </c>
      <c r="CW23" s="24">
        <f t="shared" si="9"/>
        <v>0.5</v>
      </c>
      <c r="CY23" s="16">
        <v>3</v>
      </c>
      <c r="CZ23" s="18">
        <v>5</v>
      </c>
      <c r="DB23" s="38">
        <v>2</v>
      </c>
      <c r="DC23" s="39" t="s">
        <v>649</v>
      </c>
      <c r="DD23" s="18" t="s">
        <v>652</v>
      </c>
    </row>
    <row r="24" spans="1:112" x14ac:dyDescent="0.25">
      <c r="A24">
        <v>23</v>
      </c>
      <c r="B24" t="s">
        <v>27</v>
      </c>
      <c r="C24" t="s">
        <v>28</v>
      </c>
      <c r="D24" t="s">
        <v>20</v>
      </c>
      <c r="E24" t="s">
        <v>49</v>
      </c>
      <c r="F24" t="s">
        <v>30</v>
      </c>
      <c r="G24" t="s">
        <v>92</v>
      </c>
      <c r="H24">
        <v>2024</v>
      </c>
      <c r="I24">
        <v>9</v>
      </c>
      <c r="J24" t="s">
        <v>24</v>
      </c>
      <c r="K24" t="s">
        <v>25</v>
      </c>
      <c r="L24" t="s">
        <v>85</v>
      </c>
      <c r="M24">
        <v>0</v>
      </c>
      <c r="N24">
        <v>8</v>
      </c>
      <c r="O24">
        <v>1</v>
      </c>
      <c r="P24">
        <v>0</v>
      </c>
      <c r="Q24">
        <v>67</v>
      </c>
      <c r="R24">
        <v>10</v>
      </c>
      <c r="AL24">
        <v>23</v>
      </c>
      <c r="AM24" t="s">
        <v>489</v>
      </c>
      <c r="AN24" t="s">
        <v>464</v>
      </c>
      <c r="AO24">
        <v>0.780188567331217</v>
      </c>
      <c r="AP24" t="str">
        <f t="shared" si="2"/>
        <v/>
      </c>
      <c r="AQ24" t="str">
        <f t="shared" si="3"/>
        <v>B</v>
      </c>
      <c r="AV24">
        <v>23</v>
      </c>
      <c r="AW24" t="s">
        <v>577</v>
      </c>
      <c r="AZ24">
        <v>23</v>
      </c>
      <c r="BA24" t="s">
        <v>577</v>
      </c>
      <c r="BB24" t="s">
        <v>578</v>
      </c>
      <c r="BC24" t="str">
        <f t="shared" si="5"/>
        <v>TAILHEAD</v>
      </c>
      <c r="BG24">
        <v>23</v>
      </c>
      <c r="BH24">
        <v>5</v>
      </c>
      <c r="BM24">
        <v>23</v>
      </c>
      <c r="BN24" t="s">
        <v>20</v>
      </c>
      <c r="BO24" t="s">
        <v>595</v>
      </c>
      <c r="BV24">
        <v>23</v>
      </c>
      <c r="BW24" t="s">
        <v>20</v>
      </c>
      <c r="BX24">
        <v>5</v>
      </c>
      <c r="CC24" t="s">
        <v>28</v>
      </c>
      <c r="CD24">
        <v>85</v>
      </c>
      <c r="CF24" s="9"/>
      <c r="CG24" s="9"/>
      <c r="CH24" s="9"/>
      <c r="CI24" s="9"/>
      <c r="CJ24" s="9"/>
      <c r="CK24" s="9"/>
      <c r="CL24" s="9"/>
      <c r="CS24" s="30">
        <v>10</v>
      </c>
      <c r="CT24" s="17" t="s">
        <v>618</v>
      </c>
      <c r="CU24" s="17">
        <f>_xlfn.POISSON.DIST(5,10,2.71828)</f>
        <v>6.7085962879031805E-2</v>
      </c>
      <c r="CW24" s="24">
        <f t="shared" si="9"/>
        <v>0.5</v>
      </c>
      <c r="CY24" s="16">
        <v>2</v>
      </c>
      <c r="CZ24" s="18">
        <v>4.5</v>
      </c>
      <c r="DB24" s="38">
        <v>3</v>
      </c>
      <c r="DC24" s="39" t="s">
        <v>650</v>
      </c>
      <c r="DD24" s="40" t="s">
        <v>655</v>
      </c>
    </row>
    <row r="25" spans="1:112" x14ac:dyDescent="0.25">
      <c r="A25">
        <v>24</v>
      </c>
      <c r="B25" t="s">
        <v>18</v>
      </c>
      <c r="C25" t="s">
        <v>19</v>
      </c>
      <c r="D25" t="s">
        <v>20</v>
      </c>
      <c r="E25" t="s">
        <v>54</v>
      </c>
      <c r="F25" t="s">
        <v>22</v>
      </c>
      <c r="G25" t="s">
        <v>93</v>
      </c>
      <c r="H25">
        <v>2024</v>
      </c>
      <c r="I25">
        <v>3</v>
      </c>
      <c r="J25" t="s">
        <v>40</v>
      </c>
      <c r="K25" t="s">
        <v>41</v>
      </c>
      <c r="L25" t="s">
        <v>53</v>
      </c>
      <c r="M25">
        <v>1</v>
      </c>
      <c r="N25">
        <v>8</v>
      </c>
      <c r="O25">
        <v>0</v>
      </c>
      <c r="P25">
        <v>0</v>
      </c>
      <c r="Q25">
        <v>0</v>
      </c>
      <c r="R25">
        <v>0</v>
      </c>
      <c r="AL25">
        <v>24</v>
      </c>
      <c r="AM25" t="s">
        <v>490</v>
      </c>
      <c r="AN25" t="s">
        <v>464</v>
      </c>
      <c r="AO25">
        <v>0.77484078433477122</v>
      </c>
      <c r="AP25" t="str">
        <f t="shared" si="2"/>
        <v/>
      </c>
      <c r="AQ25" t="str">
        <f t="shared" si="3"/>
        <v>B</v>
      </c>
      <c r="AV25">
        <v>24</v>
      </c>
      <c r="AW25" t="s">
        <v>577</v>
      </c>
      <c r="AZ25">
        <v>24</v>
      </c>
      <c r="BA25" t="s">
        <v>577</v>
      </c>
      <c r="BB25" t="s">
        <v>577</v>
      </c>
      <c r="BC25" t="str">
        <f t="shared" si="5"/>
        <v>TAILTAIL</v>
      </c>
      <c r="BG25">
        <v>24</v>
      </c>
      <c r="BH25">
        <v>3</v>
      </c>
      <c r="BM25">
        <v>24</v>
      </c>
      <c r="BN25" t="s">
        <v>20</v>
      </c>
      <c r="BO25" t="s">
        <v>594</v>
      </c>
      <c r="BV25">
        <v>24</v>
      </c>
      <c r="BW25" t="s">
        <v>20</v>
      </c>
      <c r="BX25">
        <v>5</v>
      </c>
      <c r="CC25" t="s">
        <v>19</v>
      </c>
      <c r="CD25">
        <v>93</v>
      </c>
      <c r="CS25" s="30">
        <v>10</v>
      </c>
      <c r="CT25" s="17" t="s">
        <v>619</v>
      </c>
      <c r="CU25" s="17">
        <f>_xlfn.POISSON.DIST(7,10,2.71828)</f>
        <v>0.22022064660169899</v>
      </c>
      <c r="CW25" s="24">
        <f t="shared" si="9"/>
        <v>-0.25</v>
      </c>
      <c r="CY25" s="16">
        <v>6</v>
      </c>
      <c r="CZ25" s="18">
        <v>9</v>
      </c>
      <c r="DB25" s="38">
        <v>4</v>
      </c>
      <c r="DC25" s="39" t="s">
        <v>649</v>
      </c>
      <c r="DD25" s="18">
        <f>COUNTIF(DC22:DC31,"H")</f>
        <v>8</v>
      </c>
    </row>
    <row r="26" spans="1:112" ht="15.75" x14ac:dyDescent="0.25">
      <c r="A26">
        <v>25</v>
      </c>
      <c r="B26" t="s">
        <v>34</v>
      </c>
      <c r="C26" t="s">
        <v>35</v>
      </c>
      <c r="D26" t="s">
        <v>36</v>
      </c>
      <c r="E26" t="s">
        <v>37</v>
      </c>
      <c r="F26" t="s">
        <v>38</v>
      </c>
      <c r="G26" t="s">
        <v>94</v>
      </c>
      <c r="H26">
        <v>2024</v>
      </c>
      <c r="I26">
        <v>9</v>
      </c>
      <c r="J26" t="s">
        <v>24</v>
      </c>
      <c r="K26" t="s">
        <v>25</v>
      </c>
      <c r="L26" t="s">
        <v>85</v>
      </c>
      <c r="M26">
        <v>0</v>
      </c>
      <c r="N26">
        <v>8</v>
      </c>
      <c r="O26">
        <v>1</v>
      </c>
      <c r="P26">
        <v>2</v>
      </c>
      <c r="Q26">
        <v>77</v>
      </c>
      <c r="R26">
        <v>10</v>
      </c>
      <c r="AL26">
        <v>25</v>
      </c>
      <c r="AM26" t="s">
        <v>491</v>
      </c>
      <c r="AN26" t="s">
        <v>464</v>
      </c>
      <c r="AO26">
        <v>0.76134481309386082</v>
      </c>
      <c r="AP26" t="str">
        <f t="shared" si="2"/>
        <v/>
      </c>
      <c r="AQ26" t="str">
        <f t="shared" si="3"/>
        <v>B</v>
      </c>
      <c r="AV26">
        <v>25</v>
      </c>
      <c r="AW26" t="s">
        <v>577</v>
      </c>
      <c r="AZ26">
        <v>25</v>
      </c>
      <c r="BA26" t="s">
        <v>577</v>
      </c>
      <c r="BB26" t="s">
        <v>577</v>
      </c>
      <c r="BC26" t="str">
        <f t="shared" si="5"/>
        <v>TAILTAIL</v>
      </c>
      <c r="BG26">
        <v>25</v>
      </c>
      <c r="BH26">
        <v>2</v>
      </c>
      <c r="BM26">
        <v>25</v>
      </c>
      <c r="BN26" t="s">
        <v>36</v>
      </c>
      <c r="BO26" t="s">
        <v>594</v>
      </c>
      <c r="BV26">
        <v>25</v>
      </c>
      <c r="BW26" t="s">
        <v>36</v>
      </c>
      <c r="BX26">
        <v>5</v>
      </c>
      <c r="CC26" t="s">
        <v>35</v>
      </c>
      <c r="CD26">
        <v>77</v>
      </c>
      <c r="CW26" s="24">
        <f t="shared" si="9"/>
        <v>0.25</v>
      </c>
      <c r="CY26" s="16">
        <v>1</v>
      </c>
      <c r="CZ26" s="18">
        <v>1</v>
      </c>
      <c r="DB26" s="38">
        <v>5</v>
      </c>
      <c r="DC26" s="39" t="s">
        <v>649</v>
      </c>
      <c r="DD26" s="19" t="s">
        <v>653</v>
      </c>
      <c r="DF26" s="10" t="s">
        <v>646</v>
      </c>
    </row>
    <row r="27" spans="1:112" x14ac:dyDescent="0.25">
      <c r="A27">
        <v>26</v>
      </c>
      <c r="B27" t="s">
        <v>79</v>
      </c>
      <c r="C27" t="s">
        <v>80</v>
      </c>
      <c r="D27" t="s">
        <v>20</v>
      </c>
      <c r="E27" t="s">
        <v>49</v>
      </c>
      <c r="F27" t="s">
        <v>81</v>
      </c>
      <c r="G27" t="s">
        <v>95</v>
      </c>
      <c r="H27">
        <v>2025</v>
      </c>
      <c r="I27">
        <v>7</v>
      </c>
      <c r="J27" t="s">
        <v>32</v>
      </c>
      <c r="K27" t="s">
        <v>25</v>
      </c>
      <c r="L27" t="s">
        <v>26</v>
      </c>
      <c r="M27">
        <v>0</v>
      </c>
      <c r="N27">
        <v>8</v>
      </c>
      <c r="O27">
        <v>0</v>
      </c>
      <c r="P27">
        <v>0</v>
      </c>
      <c r="Q27">
        <v>0</v>
      </c>
      <c r="R27">
        <v>0</v>
      </c>
      <c r="AL27">
        <v>26</v>
      </c>
      <c r="AM27" t="s">
        <v>492</v>
      </c>
      <c r="AN27" t="s">
        <v>464</v>
      </c>
      <c r="AO27">
        <v>0.70000950479221036</v>
      </c>
      <c r="AP27" t="str">
        <f t="shared" si="2"/>
        <v/>
      </c>
      <c r="AQ27" t="str">
        <f t="shared" si="3"/>
        <v>B</v>
      </c>
      <c r="AV27">
        <v>26</v>
      </c>
      <c r="AW27" t="s">
        <v>577</v>
      </c>
      <c r="AZ27">
        <v>26</v>
      </c>
      <c r="BA27" t="s">
        <v>578</v>
      </c>
      <c r="BB27" t="s">
        <v>578</v>
      </c>
      <c r="BC27" t="str">
        <f t="shared" si="5"/>
        <v>HEADHEAD</v>
      </c>
      <c r="BG27">
        <v>26</v>
      </c>
      <c r="BH27">
        <v>3</v>
      </c>
      <c r="BM27">
        <v>26</v>
      </c>
      <c r="BN27" t="s">
        <v>20</v>
      </c>
      <c r="BO27" t="s">
        <v>594</v>
      </c>
      <c r="BV27">
        <v>26</v>
      </c>
      <c r="BW27" t="s">
        <v>20</v>
      </c>
      <c r="BX27">
        <v>4</v>
      </c>
      <c r="CC27" t="s">
        <v>80</v>
      </c>
      <c r="CD27">
        <v>71</v>
      </c>
      <c r="CW27" s="24">
        <f t="shared" si="9"/>
        <v>0</v>
      </c>
      <c r="CY27" s="20">
        <v>0</v>
      </c>
      <c r="CZ27" s="22">
        <v>1</v>
      </c>
      <c r="DB27" s="38">
        <v>6</v>
      </c>
      <c r="DC27" s="39" t="s">
        <v>649</v>
      </c>
      <c r="DD27" s="18">
        <f>2*_xlfn.BINOM.DIST(DD25,10,0.5,FALSE)</f>
        <v>8.7890624999999972E-2</v>
      </c>
    </row>
    <row r="28" spans="1:112" x14ac:dyDescent="0.25">
      <c r="A28">
        <v>27</v>
      </c>
      <c r="B28" t="s">
        <v>42</v>
      </c>
      <c r="C28" t="s">
        <v>43</v>
      </c>
      <c r="D28" t="s">
        <v>36</v>
      </c>
      <c r="E28" t="s">
        <v>29</v>
      </c>
      <c r="F28" t="s">
        <v>22</v>
      </c>
      <c r="G28" t="s">
        <v>96</v>
      </c>
      <c r="H28">
        <v>2025</v>
      </c>
      <c r="I28">
        <v>12</v>
      </c>
      <c r="J28" t="s">
        <v>51</v>
      </c>
      <c r="K28" t="s">
        <v>52</v>
      </c>
      <c r="L28" t="s">
        <v>26</v>
      </c>
      <c r="M28">
        <v>0</v>
      </c>
      <c r="N28">
        <v>8</v>
      </c>
      <c r="O28">
        <v>0</v>
      </c>
      <c r="P28">
        <v>0</v>
      </c>
      <c r="Q28">
        <v>0</v>
      </c>
      <c r="R28">
        <v>0</v>
      </c>
      <c r="AL28">
        <v>27</v>
      </c>
      <c r="AM28" t="s">
        <v>493</v>
      </c>
      <c r="AN28" t="s">
        <v>464</v>
      </c>
      <c r="AO28">
        <v>0.69184477352566121</v>
      </c>
      <c r="AP28" t="str">
        <f t="shared" si="2"/>
        <v/>
      </c>
      <c r="AQ28" t="str">
        <f t="shared" si="3"/>
        <v>B</v>
      </c>
      <c r="AV28">
        <v>27</v>
      </c>
      <c r="AW28" t="s">
        <v>577</v>
      </c>
      <c r="AZ28">
        <v>27</v>
      </c>
      <c r="BA28" t="s">
        <v>578</v>
      </c>
      <c r="BB28" t="s">
        <v>578</v>
      </c>
      <c r="BC28" t="str">
        <f t="shared" si="5"/>
        <v>HEADHEAD</v>
      </c>
      <c r="BG28">
        <v>27</v>
      </c>
      <c r="BH28">
        <v>5</v>
      </c>
      <c r="BM28">
        <v>27</v>
      </c>
      <c r="BN28" t="s">
        <v>36</v>
      </c>
      <c r="BO28" t="s">
        <v>594</v>
      </c>
      <c r="BV28">
        <v>27</v>
      </c>
      <c r="BW28" t="s">
        <v>36</v>
      </c>
      <c r="BX28">
        <v>1</v>
      </c>
      <c r="CC28" t="s">
        <v>43</v>
      </c>
      <c r="CD28">
        <v>83</v>
      </c>
      <c r="CW28" s="24">
        <f t="shared" si="9"/>
        <v>-0.5</v>
      </c>
      <c r="CY28" s="1" t="s">
        <v>633</v>
      </c>
      <c r="DB28" s="38">
        <v>7</v>
      </c>
      <c r="DC28" s="39" t="s">
        <v>650</v>
      </c>
      <c r="DD28" s="19"/>
      <c r="DF28" s="54" t="s">
        <v>634</v>
      </c>
      <c r="DG28" s="54" t="s">
        <v>656</v>
      </c>
      <c r="DH28" s="54" t="s">
        <v>657</v>
      </c>
    </row>
    <row r="29" spans="1:112" x14ac:dyDescent="0.25">
      <c r="A29">
        <v>28</v>
      </c>
      <c r="B29" t="s">
        <v>65</v>
      </c>
      <c r="C29" t="s">
        <v>66</v>
      </c>
      <c r="D29" t="s">
        <v>36</v>
      </c>
      <c r="E29" t="s">
        <v>54</v>
      </c>
      <c r="F29" t="s">
        <v>38</v>
      </c>
      <c r="G29" t="s">
        <v>97</v>
      </c>
      <c r="H29">
        <v>2025</v>
      </c>
      <c r="I29">
        <v>5</v>
      </c>
      <c r="J29" t="s">
        <v>47</v>
      </c>
      <c r="K29" t="s">
        <v>48</v>
      </c>
      <c r="L29" t="s">
        <v>77</v>
      </c>
      <c r="M29">
        <v>0</v>
      </c>
      <c r="N29">
        <v>8</v>
      </c>
      <c r="O29">
        <v>1</v>
      </c>
      <c r="P29">
        <v>1</v>
      </c>
      <c r="Q29">
        <v>66</v>
      </c>
      <c r="R29">
        <v>10</v>
      </c>
      <c r="AL29">
        <v>28</v>
      </c>
      <c r="AM29" t="s">
        <v>494</v>
      </c>
      <c r="AN29" t="s">
        <v>464</v>
      </c>
      <c r="AO29">
        <v>0.68674669342323225</v>
      </c>
      <c r="AP29" t="str">
        <f t="shared" si="2"/>
        <v/>
      </c>
      <c r="AQ29" t="str">
        <f t="shared" si="3"/>
        <v>B</v>
      </c>
      <c r="AV29">
        <v>28</v>
      </c>
      <c r="AW29" t="s">
        <v>578</v>
      </c>
      <c r="AZ29">
        <v>28</v>
      </c>
      <c r="BA29" t="s">
        <v>578</v>
      </c>
      <c r="BB29" t="s">
        <v>578</v>
      </c>
      <c r="BC29" t="str">
        <f t="shared" si="5"/>
        <v>HEADHEAD</v>
      </c>
      <c r="BG29">
        <v>28</v>
      </c>
      <c r="BH29">
        <v>1</v>
      </c>
      <c r="BM29">
        <v>28</v>
      </c>
      <c r="BN29" t="s">
        <v>20</v>
      </c>
      <c r="BO29" t="s">
        <v>594</v>
      </c>
      <c r="BV29">
        <v>28</v>
      </c>
      <c r="BW29" t="s">
        <v>20</v>
      </c>
      <c r="BX29">
        <v>4</v>
      </c>
      <c r="CC29" t="s">
        <v>66</v>
      </c>
      <c r="CD29">
        <v>72</v>
      </c>
      <c r="CW29" s="24">
        <f t="shared" si="9"/>
        <v>0</v>
      </c>
      <c r="CY29">
        <f>_xlfn.COVARIANCE.S(CY23:CY27,CZ23:CZ27)</f>
        <v>7.4499999999999993</v>
      </c>
      <c r="DB29" s="38">
        <v>8</v>
      </c>
      <c r="DC29" s="39" t="s">
        <v>649</v>
      </c>
      <c r="DD29" s="18" t="s">
        <v>654</v>
      </c>
      <c r="DF29" s="50" t="s">
        <v>656</v>
      </c>
      <c r="DG29" s="50">
        <v>1</v>
      </c>
      <c r="DH29" s="50"/>
    </row>
    <row r="30" spans="1:112" x14ac:dyDescent="0.25">
      <c r="A30">
        <v>29</v>
      </c>
      <c r="B30" t="s">
        <v>69</v>
      </c>
      <c r="C30" t="s">
        <v>70</v>
      </c>
      <c r="D30" t="s">
        <v>36</v>
      </c>
      <c r="E30" t="s">
        <v>49</v>
      </c>
      <c r="F30" t="s">
        <v>71</v>
      </c>
      <c r="G30" t="s">
        <v>98</v>
      </c>
      <c r="H30">
        <v>2024</v>
      </c>
      <c r="I30">
        <v>1</v>
      </c>
      <c r="J30" t="s">
        <v>68</v>
      </c>
      <c r="K30" t="s">
        <v>41</v>
      </c>
      <c r="L30" t="s">
        <v>61</v>
      </c>
      <c r="M30">
        <v>0</v>
      </c>
      <c r="N30">
        <v>8</v>
      </c>
      <c r="O30">
        <v>0</v>
      </c>
      <c r="P30">
        <v>0</v>
      </c>
      <c r="Q30">
        <v>0</v>
      </c>
      <c r="R30">
        <v>0</v>
      </c>
      <c r="AL30">
        <v>29</v>
      </c>
      <c r="AM30" t="s">
        <v>495</v>
      </c>
      <c r="AN30" t="s">
        <v>464</v>
      </c>
      <c r="AO30">
        <v>0.68637713915214471</v>
      </c>
      <c r="AP30" t="str">
        <f t="shared" si="2"/>
        <v/>
      </c>
      <c r="AQ30" t="str">
        <f t="shared" si="3"/>
        <v>B</v>
      </c>
      <c r="AV30">
        <v>29</v>
      </c>
      <c r="AW30" t="s">
        <v>578</v>
      </c>
      <c r="AZ30">
        <v>29</v>
      </c>
      <c r="BA30" t="s">
        <v>578</v>
      </c>
      <c r="BB30" t="s">
        <v>578</v>
      </c>
      <c r="BC30" t="str">
        <f t="shared" si="5"/>
        <v>HEADHEAD</v>
      </c>
      <c r="BG30">
        <v>29</v>
      </c>
      <c r="BH30">
        <v>1</v>
      </c>
      <c r="BM30">
        <v>29</v>
      </c>
      <c r="BN30" t="s">
        <v>20</v>
      </c>
      <c r="BO30" t="s">
        <v>594</v>
      </c>
      <c r="BV30">
        <v>29</v>
      </c>
      <c r="BW30" t="s">
        <v>20</v>
      </c>
      <c r="BX30">
        <v>2</v>
      </c>
      <c r="CC30" t="s">
        <v>70</v>
      </c>
      <c r="CD30">
        <v>80</v>
      </c>
      <c r="CW30" s="24">
        <f t="shared" si="9"/>
        <v>0</v>
      </c>
      <c r="DB30" s="38">
        <v>9</v>
      </c>
      <c r="DC30" s="39" t="s">
        <v>649</v>
      </c>
      <c r="DD30" s="18" t="str">
        <f>IF(DD27&lt;0.05,"Reject H0 - Tricky","Accept H0 - Fair")</f>
        <v>Accept H0 - Fair</v>
      </c>
      <c r="DF30" s="50" t="s">
        <v>657</v>
      </c>
      <c r="DG30" s="50">
        <v>-0.67843847248728084</v>
      </c>
      <c r="DH30" s="50">
        <v>1</v>
      </c>
    </row>
    <row r="31" spans="1:112" x14ac:dyDescent="0.25">
      <c r="A31">
        <v>30</v>
      </c>
      <c r="B31" t="s">
        <v>65</v>
      </c>
      <c r="C31" t="s">
        <v>66</v>
      </c>
      <c r="D31" t="s">
        <v>36</v>
      </c>
      <c r="E31" t="s">
        <v>49</v>
      </c>
      <c r="F31" t="s">
        <v>38</v>
      </c>
      <c r="G31" t="s">
        <v>99</v>
      </c>
      <c r="H31">
        <v>2025</v>
      </c>
      <c r="I31">
        <v>6</v>
      </c>
      <c r="J31" t="s">
        <v>76</v>
      </c>
      <c r="K31" t="s">
        <v>48</v>
      </c>
      <c r="L31" t="s">
        <v>26</v>
      </c>
      <c r="M31">
        <v>0</v>
      </c>
      <c r="N31">
        <v>8</v>
      </c>
      <c r="O31">
        <v>1</v>
      </c>
      <c r="P31">
        <v>0</v>
      </c>
      <c r="Q31">
        <v>92</v>
      </c>
      <c r="R31">
        <v>10</v>
      </c>
      <c r="AL31">
        <v>30</v>
      </c>
      <c r="AM31" t="s">
        <v>496</v>
      </c>
      <c r="AN31" t="s">
        <v>464</v>
      </c>
      <c r="AO31">
        <v>0.68541726798447</v>
      </c>
      <c r="AP31" t="str">
        <f t="shared" si="2"/>
        <v/>
      </c>
      <c r="AQ31" t="str">
        <f t="shared" si="3"/>
        <v>B</v>
      </c>
      <c r="AV31">
        <v>30</v>
      </c>
      <c r="AW31" t="s">
        <v>578</v>
      </c>
      <c r="AZ31">
        <v>30</v>
      </c>
      <c r="BA31" t="s">
        <v>577</v>
      </c>
      <c r="BB31" t="s">
        <v>577</v>
      </c>
      <c r="BC31" t="str">
        <f t="shared" si="5"/>
        <v>TAILTAIL</v>
      </c>
      <c r="BG31">
        <v>30</v>
      </c>
      <c r="BH31">
        <v>5</v>
      </c>
      <c r="BM31">
        <v>30</v>
      </c>
      <c r="BN31" t="s">
        <v>36</v>
      </c>
      <c r="BO31" t="s">
        <v>595</v>
      </c>
      <c r="BV31">
        <v>30</v>
      </c>
      <c r="BW31" t="s">
        <v>36</v>
      </c>
      <c r="BX31">
        <v>3</v>
      </c>
      <c r="CC31" t="s">
        <v>66</v>
      </c>
      <c r="CD31">
        <v>95</v>
      </c>
      <c r="CW31" s="24">
        <f t="shared" si="9"/>
        <v>-0.25</v>
      </c>
      <c r="DB31" s="41">
        <v>10</v>
      </c>
      <c r="DC31" s="42" t="s">
        <v>649</v>
      </c>
      <c r="DD31" s="22"/>
    </row>
    <row r="32" spans="1:112" x14ac:dyDescent="0.25">
      <c r="A32">
        <v>31</v>
      </c>
      <c r="B32" t="s">
        <v>18</v>
      </c>
      <c r="C32" t="s">
        <v>19</v>
      </c>
      <c r="D32" t="s">
        <v>20</v>
      </c>
      <c r="E32" t="s">
        <v>54</v>
      </c>
      <c r="F32" t="s">
        <v>22</v>
      </c>
      <c r="G32" t="s">
        <v>100</v>
      </c>
      <c r="H32">
        <v>2025</v>
      </c>
      <c r="I32">
        <v>5</v>
      </c>
      <c r="J32" t="s">
        <v>47</v>
      </c>
      <c r="K32" t="s">
        <v>48</v>
      </c>
      <c r="L32" t="s">
        <v>33</v>
      </c>
      <c r="M32">
        <v>0</v>
      </c>
      <c r="N32">
        <v>8</v>
      </c>
      <c r="O32">
        <v>1</v>
      </c>
      <c r="P32">
        <v>0</v>
      </c>
      <c r="Q32">
        <v>65</v>
      </c>
      <c r="R32">
        <v>6</v>
      </c>
      <c r="AL32">
        <v>31</v>
      </c>
      <c r="AM32" t="s">
        <v>497</v>
      </c>
      <c r="AN32" t="s">
        <v>464</v>
      </c>
      <c r="AO32">
        <v>0.66826698459762923</v>
      </c>
      <c r="AP32" t="str">
        <f t="shared" si="2"/>
        <v/>
      </c>
      <c r="AQ32" t="str">
        <f t="shared" si="3"/>
        <v>B</v>
      </c>
      <c r="AV32">
        <v>31</v>
      </c>
      <c r="AW32" t="s">
        <v>577</v>
      </c>
      <c r="AZ32">
        <v>31</v>
      </c>
      <c r="BA32" t="s">
        <v>577</v>
      </c>
      <c r="BB32" t="s">
        <v>577</v>
      </c>
      <c r="BC32" t="str">
        <f t="shared" si="5"/>
        <v>TAILTAIL</v>
      </c>
      <c r="BG32">
        <v>31</v>
      </c>
      <c r="BH32">
        <v>2</v>
      </c>
      <c r="BM32">
        <v>31</v>
      </c>
      <c r="BN32" t="s">
        <v>20</v>
      </c>
      <c r="BO32" t="s">
        <v>595</v>
      </c>
      <c r="BV32">
        <v>31</v>
      </c>
      <c r="BW32" t="s">
        <v>20</v>
      </c>
      <c r="BX32">
        <v>1</v>
      </c>
      <c r="CC32" t="s">
        <v>19</v>
      </c>
      <c r="CD32">
        <v>73</v>
      </c>
      <c r="CW32" s="24">
        <f t="shared" si="9"/>
        <v>0.25</v>
      </c>
    </row>
    <row r="33" spans="1:117" x14ac:dyDescent="0.25">
      <c r="A33">
        <v>32</v>
      </c>
      <c r="B33" t="s">
        <v>69</v>
      </c>
      <c r="C33" t="s">
        <v>70</v>
      </c>
      <c r="D33" t="s">
        <v>36</v>
      </c>
      <c r="E33" t="s">
        <v>29</v>
      </c>
      <c r="F33" t="s">
        <v>71</v>
      </c>
      <c r="G33" t="s">
        <v>101</v>
      </c>
      <c r="H33">
        <v>2024</v>
      </c>
      <c r="I33">
        <v>9</v>
      </c>
      <c r="J33" t="s">
        <v>24</v>
      </c>
      <c r="K33" t="s">
        <v>25</v>
      </c>
      <c r="L33" t="s">
        <v>61</v>
      </c>
      <c r="M33">
        <v>0</v>
      </c>
      <c r="N33">
        <v>8</v>
      </c>
      <c r="O33">
        <v>0</v>
      </c>
      <c r="P33">
        <v>0</v>
      </c>
      <c r="Q33">
        <v>0</v>
      </c>
      <c r="R33">
        <v>0</v>
      </c>
      <c r="AL33">
        <v>32</v>
      </c>
      <c r="AM33" t="s">
        <v>498</v>
      </c>
      <c r="AN33" t="s">
        <v>464</v>
      </c>
      <c r="AO33">
        <v>0.65567835178823308</v>
      </c>
      <c r="AP33" t="str">
        <f t="shared" si="2"/>
        <v>selected</v>
      </c>
      <c r="AQ33" t="str">
        <f t="shared" si="3"/>
        <v>B</v>
      </c>
      <c r="AV33">
        <v>32</v>
      </c>
      <c r="AW33" t="s">
        <v>577</v>
      </c>
      <c r="AZ33">
        <v>32</v>
      </c>
      <c r="BA33" t="s">
        <v>578</v>
      </c>
      <c r="BB33" t="s">
        <v>577</v>
      </c>
      <c r="BC33" t="str">
        <f t="shared" si="5"/>
        <v>HEADTAIL</v>
      </c>
      <c r="BG33">
        <v>32</v>
      </c>
      <c r="BH33">
        <v>2</v>
      </c>
      <c r="BM33">
        <v>32</v>
      </c>
      <c r="BN33" t="s">
        <v>20</v>
      </c>
      <c r="BO33" t="s">
        <v>595</v>
      </c>
      <c r="BV33">
        <v>32</v>
      </c>
      <c r="BW33" t="s">
        <v>20</v>
      </c>
      <c r="BX33">
        <v>2</v>
      </c>
      <c r="CC33" t="s">
        <v>70</v>
      </c>
      <c r="CD33">
        <v>93</v>
      </c>
      <c r="CW33" s="25">
        <f t="shared" si="9"/>
        <v>0.25</v>
      </c>
      <c r="DC33" s="32"/>
      <c r="DD33" s="1"/>
      <c r="DE33" s="1"/>
    </row>
    <row r="34" spans="1:117" x14ac:dyDescent="0.25">
      <c r="A34">
        <v>33</v>
      </c>
      <c r="B34" t="s">
        <v>42</v>
      </c>
      <c r="C34" t="s">
        <v>43</v>
      </c>
      <c r="D34" t="s">
        <v>36</v>
      </c>
      <c r="E34" t="s">
        <v>49</v>
      </c>
      <c r="F34" t="s">
        <v>22</v>
      </c>
      <c r="G34" t="s">
        <v>102</v>
      </c>
      <c r="H34">
        <v>2024</v>
      </c>
      <c r="I34">
        <v>1</v>
      </c>
      <c r="J34" t="s">
        <v>68</v>
      </c>
      <c r="K34" t="s">
        <v>41</v>
      </c>
      <c r="L34" t="s">
        <v>53</v>
      </c>
      <c r="M34">
        <v>1</v>
      </c>
      <c r="N34">
        <v>8</v>
      </c>
      <c r="O34">
        <v>1</v>
      </c>
      <c r="P34">
        <v>2</v>
      </c>
      <c r="Q34">
        <v>62</v>
      </c>
      <c r="R34">
        <v>10</v>
      </c>
      <c r="AL34">
        <v>33</v>
      </c>
      <c r="AM34" t="s">
        <v>499</v>
      </c>
      <c r="AN34" t="s">
        <v>464</v>
      </c>
      <c r="AO34">
        <v>0.65149140917854442</v>
      </c>
      <c r="AP34" t="str">
        <f t="shared" si="2"/>
        <v/>
      </c>
      <c r="AQ34" t="str">
        <f t="shared" si="3"/>
        <v>B</v>
      </c>
      <c r="AV34">
        <v>33</v>
      </c>
      <c r="AW34" t="s">
        <v>578</v>
      </c>
      <c r="AZ34">
        <v>33</v>
      </c>
      <c r="BA34" t="s">
        <v>578</v>
      </c>
      <c r="BB34" t="s">
        <v>577</v>
      </c>
      <c r="BC34" t="str">
        <f t="shared" si="5"/>
        <v>HEADTAIL</v>
      </c>
      <c r="BG34">
        <v>33</v>
      </c>
      <c r="BH34">
        <v>4</v>
      </c>
      <c r="BM34">
        <v>33</v>
      </c>
      <c r="BN34" t="s">
        <v>36</v>
      </c>
      <c r="BO34" t="s">
        <v>594</v>
      </c>
      <c r="BV34">
        <v>33</v>
      </c>
      <c r="BW34" t="s">
        <v>36</v>
      </c>
      <c r="BX34">
        <v>3</v>
      </c>
      <c r="CC34" t="s">
        <v>43</v>
      </c>
      <c r="CD34">
        <v>91</v>
      </c>
    </row>
    <row r="35" spans="1:117" x14ac:dyDescent="0.25">
      <c r="A35">
        <v>34</v>
      </c>
      <c r="B35" t="s">
        <v>27</v>
      </c>
      <c r="C35" t="s">
        <v>28</v>
      </c>
      <c r="D35" t="s">
        <v>20</v>
      </c>
      <c r="E35" t="s">
        <v>49</v>
      </c>
      <c r="F35" t="s">
        <v>30</v>
      </c>
      <c r="G35" t="s">
        <v>103</v>
      </c>
      <c r="H35">
        <v>2024</v>
      </c>
      <c r="I35">
        <v>7</v>
      </c>
      <c r="J35" t="s">
        <v>32</v>
      </c>
      <c r="K35" t="s">
        <v>25</v>
      </c>
      <c r="L35" t="s">
        <v>45</v>
      </c>
      <c r="M35">
        <v>1</v>
      </c>
      <c r="N35">
        <v>8</v>
      </c>
      <c r="O35">
        <v>0</v>
      </c>
      <c r="P35">
        <v>0</v>
      </c>
      <c r="Q35">
        <v>0</v>
      </c>
      <c r="R35">
        <v>0</v>
      </c>
      <c r="AL35">
        <v>34</v>
      </c>
      <c r="AM35" t="s">
        <v>500</v>
      </c>
      <c r="AN35" t="s">
        <v>462</v>
      </c>
      <c r="AO35">
        <v>0.65042159059993687</v>
      </c>
      <c r="AP35" t="str">
        <f t="shared" si="2"/>
        <v/>
      </c>
      <c r="AQ35" t="str">
        <f t="shared" si="3"/>
        <v>C</v>
      </c>
      <c r="AV35">
        <v>34</v>
      </c>
      <c r="AW35" t="s">
        <v>578</v>
      </c>
      <c r="AZ35">
        <v>34</v>
      </c>
      <c r="BA35" t="s">
        <v>577</v>
      </c>
      <c r="BB35" t="s">
        <v>578</v>
      </c>
      <c r="BC35" t="str">
        <f t="shared" si="5"/>
        <v>TAILHEAD</v>
      </c>
      <c r="BG35">
        <v>34</v>
      </c>
      <c r="BH35">
        <v>6</v>
      </c>
      <c r="BM35">
        <v>34</v>
      </c>
      <c r="BN35" t="s">
        <v>20</v>
      </c>
      <c r="BO35" t="s">
        <v>595</v>
      </c>
      <c r="BV35">
        <v>34</v>
      </c>
      <c r="BW35" t="s">
        <v>20</v>
      </c>
      <c r="BX35">
        <v>5</v>
      </c>
      <c r="CC35" t="s">
        <v>28</v>
      </c>
      <c r="CD35">
        <v>64</v>
      </c>
    </row>
    <row r="36" spans="1:117" x14ac:dyDescent="0.25">
      <c r="A36">
        <v>35</v>
      </c>
      <c r="B36" t="s">
        <v>27</v>
      </c>
      <c r="C36" t="s">
        <v>28</v>
      </c>
      <c r="D36" t="s">
        <v>20</v>
      </c>
      <c r="E36" t="s">
        <v>54</v>
      </c>
      <c r="F36" t="s">
        <v>30</v>
      </c>
      <c r="G36" t="s">
        <v>104</v>
      </c>
      <c r="H36">
        <v>2024</v>
      </c>
      <c r="I36">
        <v>10</v>
      </c>
      <c r="J36" t="s">
        <v>105</v>
      </c>
      <c r="K36" t="s">
        <v>52</v>
      </c>
      <c r="L36" t="s">
        <v>33</v>
      </c>
      <c r="M36">
        <v>0</v>
      </c>
      <c r="N36">
        <v>8</v>
      </c>
      <c r="O36">
        <v>0</v>
      </c>
      <c r="P36">
        <v>0</v>
      </c>
      <c r="Q36">
        <v>0</v>
      </c>
      <c r="R36">
        <v>0</v>
      </c>
      <c r="AL36">
        <v>35</v>
      </c>
      <c r="AM36" t="s">
        <v>501</v>
      </c>
      <c r="AN36" t="s">
        <v>462</v>
      </c>
      <c r="AO36">
        <v>0.64336054341166271</v>
      </c>
      <c r="AP36" t="str">
        <f t="shared" si="2"/>
        <v/>
      </c>
      <c r="AQ36" t="str">
        <f t="shared" si="3"/>
        <v>C</v>
      </c>
      <c r="AV36">
        <v>35</v>
      </c>
      <c r="AW36" t="s">
        <v>578</v>
      </c>
      <c r="AZ36">
        <v>35</v>
      </c>
      <c r="BA36" t="s">
        <v>577</v>
      </c>
      <c r="BB36" t="s">
        <v>578</v>
      </c>
      <c r="BC36" t="str">
        <f t="shared" si="5"/>
        <v>TAILHEAD</v>
      </c>
      <c r="BG36">
        <v>35</v>
      </c>
      <c r="BH36">
        <v>4</v>
      </c>
      <c r="BM36">
        <v>35</v>
      </c>
      <c r="BN36" t="s">
        <v>20</v>
      </c>
      <c r="BO36" t="s">
        <v>595</v>
      </c>
      <c r="BV36">
        <v>35</v>
      </c>
      <c r="BW36" t="s">
        <v>20</v>
      </c>
      <c r="BX36">
        <v>6</v>
      </c>
      <c r="CC36" t="s">
        <v>28</v>
      </c>
      <c r="CD36">
        <v>77</v>
      </c>
    </row>
    <row r="37" spans="1:117" ht="15.75" x14ac:dyDescent="0.25">
      <c r="A37">
        <v>36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t="s">
        <v>106</v>
      </c>
      <c r="H37">
        <v>2025</v>
      </c>
      <c r="I37">
        <v>8</v>
      </c>
      <c r="J37" t="s">
        <v>107</v>
      </c>
      <c r="K37" t="s">
        <v>25</v>
      </c>
      <c r="L37" t="s">
        <v>45</v>
      </c>
      <c r="M37">
        <v>1</v>
      </c>
      <c r="N37">
        <v>8</v>
      </c>
      <c r="O37">
        <v>0</v>
      </c>
      <c r="P37">
        <v>0</v>
      </c>
      <c r="Q37">
        <v>0</v>
      </c>
      <c r="R37">
        <v>0</v>
      </c>
      <c r="AL37">
        <v>36</v>
      </c>
      <c r="AM37" t="s">
        <v>502</v>
      </c>
      <c r="AN37" t="s">
        <v>462</v>
      </c>
      <c r="AO37">
        <v>0.63902090195134287</v>
      </c>
      <c r="AP37" t="str">
        <f t="shared" si="2"/>
        <v/>
      </c>
      <c r="AQ37" t="str">
        <f t="shared" si="3"/>
        <v>C</v>
      </c>
      <c r="AV37">
        <v>36</v>
      </c>
      <c r="AW37" t="s">
        <v>577</v>
      </c>
      <c r="AZ37">
        <v>36</v>
      </c>
      <c r="BA37" t="s">
        <v>578</v>
      </c>
      <c r="BB37" t="s">
        <v>577</v>
      </c>
      <c r="BC37" t="str">
        <f t="shared" si="5"/>
        <v>HEADTAIL</v>
      </c>
      <c r="BG37">
        <v>36</v>
      </c>
      <c r="BH37">
        <v>6</v>
      </c>
      <c r="BM37">
        <v>36</v>
      </c>
      <c r="BN37" t="s">
        <v>20</v>
      </c>
      <c r="BO37" t="s">
        <v>595</v>
      </c>
      <c r="BV37">
        <v>36</v>
      </c>
      <c r="BW37" t="s">
        <v>20</v>
      </c>
      <c r="BX37">
        <v>6</v>
      </c>
      <c r="CC37" t="s">
        <v>19</v>
      </c>
      <c r="CD37">
        <v>67</v>
      </c>
      <c r="DE37" s="10" t="s">
        <v>728</v>
      </c>
    </row>
    <row r="38" spans="1:117" ht="15.75" x14ac:dyDescent="0.25">
      <c r="A38">
        <v>37</v>
      </c>
      <c r="B38" t="s">
        <v>69</v>
      </c>
      <c r="C38" t="s">
        <v>70</v>
      </c>
      <c r="D38" t="s">
        <v>36</v>
      </c>
      <c r="E38" t="s">
        <v>49</v>
      </c>
      <c r="F38" t="s">
        <v>71</v>
      </c>
      <c r="G38" t="s">
        <v>108</v>
      </c>
      <c r="H38">
        <v>2025</v>
      </c>
      <c r="I38">
        <v>10</v>
      </c>
      <c r="J38" t="s">
        <v>105</v>
      </c>
      <c r="K38" t="s">
        <v>52</v>
      </c>
      <c r="L38" t="s">
        <v>53</v>
      </c>
      <c r="M38">
        <v>1</v>
      </c>
      <c r="N38">
        <v>8</v>
      </c>
      <c r="O38">
        <v>1</v>
      </c>
      <c r="P38">
        <v>0</v>
      </c>
      <c r="Q38">
        <v>90</v>
      </c>
      <c r="R38">
        <v>3</v>
      </c>
      <c r="AL38">
        <v>37</v>
      </c>
      <c r="AM38" t="s">
        <v>503</v>
      </c>
      <c r="AN38" t="s">
        <v>462</v>
      </c>
      <c r="AO38">
        <v>0.60423855225095724</v>
      </c>
      <c r="AP38" t="str">
        <f t="shared" si="2"/>
        <v/>
      </c>
      <c r="AQ38" t="str">
        <f t="shared" si="3"/>
        <v>C</v>
      </c>
      <c r="AV38">
        <v>37</v>
      </c>
      <c r="AW38" t="s">
        <v>577</v>
      </c>
      <c r="AZ38">
        <v>37</v>
      </c>
      <c r="BA38" t="s">
        <v>578</v>
      </c>
      <c r="BB38" t="s">
        <v>578</v>
      </c>
      <c r="BC38" t="str">
        <f t="shared" si="5"/>
        <v>HEADHEAD</v>
      </c>
      <c r="BG38">
        <v>37</v>
      </c>
      <c r="BH38">
        <v>6</v>
      </c>
      <c r="BM38">
        <v>37</v>
      </c>
      <c r="BN38" t="s">
        <v>36</v>
      </c>
      <c r="BO38" t="s">
        <v>594</v>
      </c>
      <c r="BV38">
        <v>37</v>
      </c>
      <c r="BW38" t="s">
        <v>36</v>
      </c>
      <c r="BX38">
        <v>2</v>
      </c>
      <c r="CC38" t="s">
        <v>70</v>
      </c>
      <c r="CD38">
        <v>71</v>
      </c>
      <c r="CT38" s="28" t="s">
        <v>656</v>
      </c>
      <c r="CU38" s="14" t="s">
        <v>657</v>
      </c>
      <c r="CV38" s="15" t="s">
        <v>658</v>
      </c>
      <c r="CX38" s="48" t="s">
        <v>671</v>
      </c>
      <c r="CY38" s="48"/>
      <c r="DA38" s="48" t="s">
        <v>659</v>
      </c>
      <c r="DB38" s="48"/>
      <c r="DC38" s="48"/>
      <c r="DE38" t="s">
        <v>711</v>
      </c>
    </row>
    <row r="39" spans="1:117" ht="15.75" thickBot="1" x14ac:dyDescent="0.3">
      <c r="A39">
        <v>38</v>
      </c>
      <c r="B39" t="s">
        <v>18</v>
      </c>
      <c r="C39" t="s">
        <v>19</v>
      </c>
      <c r="D39" t="s">
        <v>20</v>
      </c>
      <c r="E39" t="s">
        <v>29</v>
      </c>
      <c r="F39" t="s">
        <v>22</v>
      </c>
      <c r="G39" t="s">
        <v>109</v>
      </c>
      <c r="H39">
        <v>2024</v>
      </c>
      <c r="I39">
        <v>8</v>
      </c>
      <c r="J39" t="s">
        <v>107</v>
      </c>
      <c r="K39" t="s">
        <v>25</v>
      </c>
      <c r="L39" t="s">
        <v>85</v>
      </c>
      <c r="M39">
        <v>0</v>
      </c>
      <c r="N39">
        <v>8</v>
      </c>
      <c r="O39">
        <v>1</v>
      </c>
      <c r="P39">
        <v>1</v>
      </c>
      <c r="Q39">
        <v>69</v>
      </c>
      <c r="R39">
        <v>1</v>
      </c>
      <c r="AL39">
        <v>38</v>
      </c>
      <c r="AM39" t="s">
        <v>504</v>
      </c>
      <c r="AN39" t="s">
        <v>462</v>
      </c>
      <c r="AO39">
        <v>0.60149902236379316</v>
      </c>
      <c r="AP39" t="str">
        <f t="shared" si="2"/>
        <v/>
      </c>
      <c r="AQ39" t="str">
        <f t="shared" si="3"/>
        <v>C</v>
      </c>
      <c r="AV39">
        <v>38</v>
      </c>
      <c r="AW39" t="s">
        <v>578</v>
      </c>
      <c r="AZ39">
        <v>38</v>
      </c>
      <c r="BA39" t="s">
        <v>577</v>
      </c>
      <c r="BB39" t="s">
        <v>577</v>
      </c>
      <c r="BC39" t="str">
        <f t="shared" si="5"/>
        <v>TAILTAIL</v>
      </c>
      <c r="BG39">
        <v>38</v>
      </c>
      <c r="BH39">
        <v>4</v>
      </c>
      <c r="BM39">
        <v>38</v>
      </c>
      <c r="BN39" t="s">
        <v>36</v>
      </c>
      <c r="BO39" t="s">
        <v>595</v>
      </c>
      <c r="BV39">
        <v>38</v>
      </c>
      <c r="BW39" t="s">
        <v>36</v>
      </c>
      <c r="BX39">
        <v>1</v>
      </c>
      <c r="CC39" t="s">
        <v>19</v>
      </c>
      <c r="CD39">
        <v>75</v>
      </c>
      <c r="CT39" s="16">
        <v>32</v>
      </c>
      <c r="CU39" s="17">
        <v>26</v>
      </c>
      <c r="CV39" s="18">
        <v>0</v>
      </c>
    </row>
    <row r="40" spans="1:117" x14ac:dyDescent="0.25">
      <c r="A40">
        <v>39</v>
      </c>
      <c r="B40" t="s">
        <v>42</v>
      </c>
      <c r="C40" t="s">
        <v>43</v>
      </c>
      <c r="D40" t="s">
        <v>36</v>
      </c>
      <c r="E40" t="s">
        <v>37</v>
      </c>
      <c r="F40" t="s">
        <v>22</v>
      </c>
      <c r="G40" t="s">
        <v>110</v>
      </c>
      <c r="H40">
        <v>2024</v>
      </c>
      <c r="I40">
        <v>3</v>
      </c>
      <c r="J40" t="s">
        <v>40</v>
      </c>
      <c r="K40" t="s">
        <v>41</v>
      </c>
      <c r="L40" t="s">
        <v>77</v>
      </c>
      <c r="M40">
        <v>0</v>
      </c>
      <c r="N40">
        <v>8</v>
      </c>
      <c r="O40">
        <v>1</v>
      </c>
      <c r="P40">
        <v>3</v>
      </c>
      <c r="Q40">
        <v>76</v>
      </c>
      <c r="R40">
        <v>1</v>
      </c>
      <c r="AL40">
        <v>39</v>
      </c>
      <c r="AM40" t="s">
        <v>505</v>
      </c>
      <c r="AN40" t="s">
        <v>462</v>
      </c>
      <c r="AO40">
        <v>0.5916903395267229</v>
      </c>
      <c r="AP40" t="str">
        <f t="shared" si="2"/>
        <v/>
      </c>
      <c r="AQ40" t="str">
        <f t="shared" si="3"/>
        <v>C</v>
      </c>
      <c r="AV40">
        <v>39</v>
      </c>
      <c r="AW40" t="s">
        <v>578</v>
      </c>
      <c r="AZ40">
        <v>39</v>
      </c>
      <c r="BA40" t="s">
        <v>577</v>
      </c>
      <c r="BB40" t="s">
        <v>578</v>
      </c>
      <c r="BC40" t="str">
        <f t="shared" si="5"/>
        <v>TAILHEAD</v>
      </c>
      <c r="BG40">
        <v>39</v>
      </c>
      <c r="BH40">
        <v>2</v>
      </c>
      <c r="BM40">
        <v>39</v>
      </c>
      <c r="BN40" t="s">
        <v>20</v>
      </c>
      <c r="BO40" t="s">
        <v>594</v>
      </c>
      <c r="BV40">
        <v>39</v>
      </c>
      <c r="BW40" t="s">
        <v>20</v>
      </c>
      <c r="BX40">
        <v>6</v>
      </c>
      <c r="CC40" t="s">
        <v>43</v>
      </c>
      <c r="CD40">
        <v>60</v>
      </c>
      <c r="CT40" s="16">
        <v>26</v>
      </c>
      <c r="CU40" s="17">
        <v>32</v>
      </c>
      <c r="CV40" s="18">
        <v>0</v>
      </c>
      <c r="CX40" s="43" t="s">
        <v>634</v>
      </c>
      <c r="CY40" s="44" t="s">
        <v>672</v>
      </c>
      <c r="CZ40" s="35"/>
      <c r="DA40" s="28" t="s">
        <v>634</v>
      </c>
      <c r="DB40" s="14" t="s">
        <v>672</v>
      </c>
      <c r="DC40" s="15" t="s">
        <v>673</v>
      </c>
      <c r="DE40" s="53" t="s">
        <v>712</v>
      </c>
      <c r="DF40" s="53" t="s">
        <v>634</v>
      </c>
      <c r="DG40" t="s">
        <v>672</v>
      </c>
      <c r="DH40" t="s">
        <v>673</v>
      </c>
      <c r="DI40" t="s">
        <v>708</v>
      </c>
      <c r="DJ40" t="s">
        <v>709</v>
      </c>
      <c r="DK40" t="s">
        <v>710</v>
      </c>
      <c r="DL40" t="s">
        <v>726</v>
      </c>
      <c r="DM40" t="s">
        <v>727</v>
      </c>
    </row>
    <row r="41" spans="1:117" x14ac:dyDescent="0.25">
      <c r="A41">
        <v>40</v>
      </c>
      <c r="B41" t="s">
        <v>79</v>
      </c>
      <c r="C41" t="s">
        <v>80</v>
      </c>
      <c r="D41" t="s">
        <v>20</v>
      </c>
      <c r="E41" t="s">
        <v>54</v>
      </c>
      <c r="F41" t="s">
        <v>81</v>
      </c>
      <c r="G41" t="s">
        <v>111</v>
      </c>
      <c r="H41">
        <v>2025</v>
      </c>
      <c r="I41">
        <v>11</v>
      </c>
      <c r="J41" t="s">
        <v>74</v>
      </c>
      <c r="K41" t="s">
        <v>52</v>
      </c>
      <c r="L41" t="s">
        <v>61</v>
      </c>
      <c r="M41">
        <v>0</v>
      </c>
      <c r="N41">
        <v>8</v>
      </c>
      <c r="O41">
        <v>1</v>
      </c>
      <c r="P41">
        <v>2</v>
      </c>
      <c r="Q41">
        <v>92</v>
      </c>
      <c r="R41">
        <v>2</v>
      </c>
      <c r="AL41">
        <v>40</v>
      </c>
      <c r="AM41" t="s">
        <v>506</v>
      </c>
      <c r="AN41" t="s">
        <v>462</v>
      </c>
      <c r="AO41">
        <v>0.58222083649539891</v>
      </c>
      <c r="AP41" t="str">
        <f t="shared" si="2"/>
        <v/>
      </c>
      <c r="AQ41" t="str">
        <f t="shared" si="3"/>
        <v>C</v>
      </c>
      <c r="AV41">
        <v>40</v>
      </c>
      <c r="AW41" t="s">
        <v>578</v>
      </c>
      <c r="AZ41">
        <v>40</v>
      </c>
      <c r="BA41" t="s">
        <v>577</v>
      </c>
      <c r="BB41" t="s">
        <v>578</v>
      </c>
      <c r="BC41" t="str">
        <f t="shared" si="5"/>
        <v>TAILHEAD</v>
      </c>
      <c r="BG41">
        <v>40</v>
      </c>
      <c r="BH41">
        <v>6</v>
      </c>
      <c r="BM41">
        <v>40</v>
      </c>
      <c r="BN41" t="s">
        <v>36</v>
      </c>
      <c r="BO41" t="s">
        <v>595</v>
      </c>
      <c r="BV41">
        <v>40</v>
      </c>
      <c r="BW41" t="s">
        <v>36</v>
      </c>
      <c r="BX41">
        <v>1</v>
      </c>
      <c r="CC41" t="s">
        <v>80</v>
      </c>
      <c r="CD41">
        <v>68</v>
      </c>
      <c r="CT41" s="16">
        <v>25</v>
      </c>
      <c r="CU41" s="17">
        <v>31</v>
      </c>
      <c r="CV41" s="18">
        <v>0</v>
      </c>
      <c r="CX41" s="45"/>
      <c r="CY41" s="46">
        <v>26</v>
      </c>
      <c r="DA41" s="16"/>
      <c r="DB41" s="17">
        <v>32</v>
      </c>
      <c r="DC41" s="18">
        <v>26</v>
      </c>
      <c r="DE41" s="50" t="s">
        <v>713</v>
      </c>
      <c r="DF41" s="50">
        <v>0.67843847248728084</v>
      </c>
    </row>
    <row r="42" spans="1:117" x14ac:dyDescent="0.25">
      <c r="A42">
        <v>41</v>
      </c>
      <c r="B42" t="s">
        <v>62</v>
      </c>
      <c r="C42" t="s">
        <v>63</v>
      </c>
      <c r="D42" t="s">
        <v>20</v>
      </c>
      <c r="E42" t="s">
        <v>21</v>
      </c>
      <c r="F42" t="s">
        <v>38</v>
      </c>
      <c r="G42" t="s">
        <v>112</v>
      </c>
      <c r="H42">
        <v>2025</v>
      </c>
      <c r="I42">
        <v>6</v>
      </c>
      <c r="J42" t="s">
        <v>76</v>
      </c>
      <c r="K42" t="s">
        <v>48</v>
      </c>
      <c r="L42" t="s">
        <v>61</v>
      </c>
      <c r="M42">
        <v>0</v>
      </c>
      <c r="N42">
        <v>8</v>
      </c>
      <c r="O42">
        <v>0</v>
      </c>
      <c r="P42">
        <v>0</v>
      </c>
      <c r="Q42">
        <v>0</v>
      </c>
      <c r="R42">
        <v>0</v>
      </c>
      <c r="AL42">
        <v>41</v>
      </c>
      <c r="AM42" t="s">
        <v>507</v>
      </c>
      <c r="AN42" t="s">
        <v>462</v>
      </c>
      <c r="AO42">
        <v>0.57985048838410946</v>
      </c>
      <c r="AP42" t="str">
        <f t="shared" si="2"/>
        <v/>
      </c>
      <c r="AQ42" t="str">
        <f t="shared" si="3"/>
        <v>C</v>
      </c>
      <c r="AV42">
        <v>41</v>
      </c>
      <c r="AW42" t="s">
        <v>577</v>
      </c>
      <c r="AZ42">
        <v>41</v>
      </c>
      <c r="BA42" t="s">
        <v>578</v>
      </c>
      <c r="BB42" t="s">
        <v>577</v>
      </c>
      <c r="BC42" t="str">
        <f t="shared" si="5"/>
        <v>HEADTAIL</v>
      </c>
      <c r="BG42">
        <v>41</v>
      </c>
      <c r="BH42">
        <v>4</v>
      </c>
      <c r="BM42">
        <v>41</v>
      </c>
      <c r="BN42" t="s">
        <v>20</v>
      </c>
      <c r="BO42" t="s">
        <v>594</v>
      </c>
      <c r="BV42">
        <v>41</v>
      </c>
      <c r="BW42" t="s">
        <v>20</v>
      </c>
      <c r="BX42">
        <v>2</v>
      </c>
      <c r="CC42" t="s">
        <v>63</v>
      </c>
      <c r="CD42">
        <v>87</v>
      </c>
      <c r="CT42" s="16">
        <v>32</v>
      </c>
      <c r="CU42" s="17">
        <v>31</v>
      </c>
      <c r="CV42" s="18">
        <v>0</v>
      </c>
      <c r="CX42" s="16" t="s">
        <v>660</v>
      </c>
      <c r="CY42" s="18">
        <v>27.5</v>
      </c>
      <c r="DA42" s="16" t="s">
        <v>660</v>
      </c>
      <c r="DB42" s="17">
        <v>29.7</v>
      </c>
      <c r="DC42" s="18">
        <v>27.5</v>
      </c>
      <c r="DE42" s="50" t="s">
        <v>714</v>
      </c>
      <c r="DF42" s="50">
        <v>0.46027876095087489</v>
      </c>
    </row>
    <row r="43" spans="1:117" x14ac:dyDescent="0.25">
      <c r="A43">
        <v>42</v>
      </c>
      <c r="B43" t="s">
        <v>42</v>
      </c>
      <c r="C43" t="s">
        <v>43</v>
      </c>
      <c r="D43" t="s">
        <v>36</v>
      </c>
      <c r="E43" t="s">
        <v>49</v>
      </c>
      <c r="F43" t="s">
        <v>22</v>
      </c>
      <c r="G43" t="s">
        <v>113</v>
      </c>
      <c r="H43">
        <v>2025</v>
      </c>
      <c r="I43">
        <v>6</v>
      </c>
      <c r="J43" t="s">
        <v>76</v>
      </c>
      <c r="K43" t="s">
        <v>48</v>
      </c>
      <c r="L43" t="s">
        <v>85</v>
      </c>
      <c r="M43">
        <v>0</v>
      </c>
      <c r="N43">
        <v>8</v>
      </c>
      <c r="O43">
        <v>1</v>
      </c>
      <c r="P43">
        <v>0</v>
      </c>
      <c r="Q43">
        <v>72</v>
      </c>
      <c r="R43">
        <v>4</v>
      </c>
      <c r="AL43">
        <v>42</v>
      </c>
      <c r="AM43" t="s">
        <v>508</v>
      </c>
      <c r="AN43" t="s">
        <v>462</v>
      </c>
      <c r="AO43">
        <v>0.57501133838745788</v>
      </c>
      <c r="AP43" t="str">
        <f t="shared" si="2"/>
        <v>selected</v>
      </c>
      <c r="AQ43" t="str">
        <f t="shared" si="3"/>
        <v>C</v>
      </c>
      <c r="AV43">
        <v>42</v>
      </c>
      <c r="AW43" t="s">
        <v>578</v>
      </c>
      <c r="AZ43">
        <v>42</v>
      </c>
      <c r="BA43" t="s">
        <v>578</v>
      </c>
      <c r="BB43" t="s">
        <v>577</v>
      </c>
      <c r="BC43" t="str">
        <f t="shared" si="5"/>
        <v>HEADTAIL</v>
      </c>
      <c r="BG43">
        <v>42</v>
      </c>
      <c r="BH43">
        <v>2</v>
      </c>
      <c r="BM43">
        <v>42</v>
      </c>
      <c r="BN43" t="s">
        <v>36</v>
      </c>
      <c r="BO43" t="s">
        <v>594</v>
      </c>
      <c r="BV43">
        <v>42</v>
      </c>
      <c r="BW43" t="s">
        <v>36</v>
      </c>
      <c r="BX43">
        <v>4</v>
      </c>
      <c r="CC43" t="s">
        <v>43</v>
      </c>
      <c r="CD43">
        <v>74</v>
      </c>
      <c r="CT43" s="16">
        <v>30</v>
      </c>
      <c r="CU43" s="17">
        <v>24</v>
      </c>
      <c r="CV43" s="18">
        <v>0</v>
      </c>
      <c r="CX43" s="16" t="s">
        <v>661</v>
      </c>
      <c r="CY43" s="18">
        <v>10.722222222222221</v>
      </c>
      <c r="DA43" s="16" t="s">
        <v>661</v>
      </c>
      <c r="DB43" s="17">
        <v>11.344444444444484</v>
      </c>
      <c r="DC43" s="18">
        <v>10.722222222222221</v>
      </c>
      <c r="DE43" s="50" t="s">
        <v>715</v>
      </c>
      <c r="DF43" s="50">
        <v>0.40030973438986095</v>
      </c>
    </row>
    <row r="44" spans="1:117" x14ac:dyDescent="0.25">
      <c r="A44">
        <v>43</v>
      </c>
      <c r="B44" t="s">
        <v>27</v>
      </c>
      <c r="C44" t="s">
        <v>28</v>
      </c>
      <c r="D44" t="s">
        <v>20</v>
      </c>
      <c r="E44" t="s">
        <v>37</v>
      </c>
      <c r="F44" t="s">
        <v>30</v>
      </c>
      <c r="G44" t="s">
        <v>114</v>
      </c>
      <c r="H44">
        <v>2025</v>
      </c>
      <c r="I44">
        <v>6</v>
      </c>
      <c r="J44" t="s">
        <v>76</v>
      </c>
      <c r="K44" t="s">
        <v>48</v>
      </c>
      <c r="L44" t="s">
        <v>45</v>
      </c>
      <c r="M44">
        <v>1</v>
      </c>
      <c r="N44">
        <v>8</v>
      </c>
      <c r="O44">
        <v>0</v>
      </c>
      <c r="P44">
        <v>0</v>
      </c>
      <c r="Q44">
        <v>0</v>
      </c>
      <c r="R44">
        <v>0</v>
      </c>
      <c r="AL44">
        <v>43</v>
      </c>
      <c r="AM44" t="s">
        <v>509</v>
      </c>
      <c r="AN44" t="s">
        <v>462</v>
      </c>
      <c r="AO44">
        <v>0.56949703088380599</v>
      </c>
      <c r="AP44" t="str">
        <f t="shared" si="2"/>
        <v/>
      </c>
      <c r="AQ44" t="str">
        <f t="shared" si="3"/>
        <v>C</v>
      </c>
      <c r="AV44">
        <v>43</v>
      </c>
      <c r="AW44" t="s">
        <v>578</v>
      </c>
      <c r="AZ44">
        <v>43</v>
      </c>
      <c r="BA44" t="s">
        <v>578</v>
      </c>
      <c r="BB44" t="s">
        <v>578</v>
      </c>
      <c r="BC44" t="str">
        <f t="shared" si="5"/>
        <v>HEADHEAD</v>
      </c>
      <c r="BG44">
        <v>43</v>
      </c>
      <c r="BH44">
        <v>3</v>
      </c>
      <c r="BM44">
        <v>43</v>
      </c>
      <c r="BN44" t="s">
        <v>20</v>
      </c>
      <c r="BO44" t="s">
        <v>595</v>
      </c>
      <c r="BV44">
        <v>43</v>
      </c>
      <c r="BW44" t="s">
        <v>20</v>
      </c>
      <c r="BX44">
        <v>2</v>
      </c>
      <c r="CC44" t="s">
        <v>28</v>
      </c>
      <c r="CD44">
        <v>61</v>
      </c>
      <c r="CT44" s="16">
        <v>28</v>
      </c>
      <c r="CU44" s="17">
        <v>26</v>
      </c>
      <c r="CV44" s="18">
        <v>0</v>
      </c>
      <c r="CX44" s="16" t="s">
        <v>662</v>
      </c>
      <c r="CY44" s="18">
        <v>10</v>
      </c>
      <c r="DA44" s="16" t="s">
        <v>662</v>
      </c>
      <c r="DB44" s="17">
        <v>10</v>
      </c>
      <c r="DC44" s="18">
        <v>10</v>
      </c>
      <c r="DE44" s="50" t="s">
        <v>716</v>
      </c>
      <c r="DF44" s="50">
        <v>2.5320414910386289</v>
      </c>
    </row>
    <row r="45" spans="1:117" ht="15.75" thickBot="1" x14ac:dyDescent="0.3">
      <c r="A45">
        <v>44</v>
      </c>
      <c r="B45" t="s">
        <v>34</v>
      </c>
      <c r="C45" t="s">
        <v>35</v>
      </c>
      <c r="D45" t="s">
        <v>36</v>
      </c>
      <c r="E45" t="s">
        <v>29</v>
      </c>
      <c r="F45" t="s">
        <v>38</v>
      </c>
      <c r="G45" t="s">
        <v>115</v>
      </c>
      <c r="H45">
        <v>2025</v>
      </c>
      <c r="I45">
        <v>5</v>
      </c>
      <c r="J45" t="s">
        <v>47</v>
      </c>
      <c r="K45" t="s">
        <v>48</v>
      </c>
      <c r="L45" t="s">
        <v>33</v>
      </c>
      <c r="M45">
        <v>0</v>
      </c>
      <c r="N45">
        <v>8</v>
      </c>
      <c r="O45">
        <v>1</v>
      </c>
      <c r="P45">
        <v>1</v>
      </c>
      <c r="Q45">
        <v>62</v>
      </c>
      <c r="R45">
        <v>6</v>
      </c>
      <c r="AL45">
        <v>44</v>
      </c>
      <c r="AM45" t="s">
        <v>510</v>
      </c>
      <c r="AN45" t="s">
        <v>462</v>
      </c>
      <c r="AO45">
        <v>0.54403291353859273</v>
      </c>
      <c r="AP45" t="str">
        <f t="shared" si="2"/>
        <v/>
      </c>
      <c r="AQ45" t="str">
        <f t="shared" si="3"/>
        <v>C</v>
      </c>
      <c r="AV45">
        <v>44</v>
      </c>
      <c r="AW45" t="s">
        <v>578</v>
      </c>
      <c r="AZ45">
        <v>44</v>
      </c>
      <c r="BA45" t="s">
        <v>578</v>
      </c>
      <c r="BB45" t="s">
        <v>577</v>
      </c>
      <c r="BC45" t="str">
        <f t="shared" si="5"/>
        <v>HEADTAIL</v>
      </c>
      <c r="BG45">
        <v>44</v>
      </c>
      <c r="BH45">
        <v>2</v>
      </c>
      <c r="BM45">
        <v>44</v>
      </c>
      <c r="BN45" t="s">
        <v>36</v>
      </c>
      <c r="BO45" t="s">
        <v>594</v>
      </c>
      <c r="BV45">
        <v>44</v>
      </c>
      <c r="BW45" t="s">
        <v>36</v>
      </c>
      <c r="BX45">
        <v>3</v>
      </c>
      <c r="CC45" t="s">
        <v>35</v>
      </c>
      <c r="CD45">
        <v>66</v>
      </c>
      <c r="CT45" s="16">
        <v>28</v>
      </c>
      <c r="CU45" s="17">
        <v>30</v>
      </c>
      <c r="CV45" s="18">
        <v>0</v>
      </c>
      <c r="CX45" s="16" t="s">
        <v>663</v>
      </c>
      <c r="CY45" s="18" t="e">
        <v>#DIV/0!</v>
      </c>
      <c r="DA45" s="16" t="s">
        <v>663</v>
      </c>
      <c r="DB45" s="17">
        <v>-0.6699542053908788</v>
      </c>
      <c r="DC45" s="18"/>
      <c r="DE45" s="51" t="s">
        <v>662</v>
      </c>
      <c r="DF45" s="51">
        <v>11</v>
      </c>
    </row>
    <row r="46" spans="1:117" x14ac:dyDescent="0.25">
      <c r="A46">
        <v>45</v>
      </c>
      <c r="B46" t="s">
        <v>42</v>
      </c>
      <c r="C46" t="s">
        <v>43</v>
      </c>
      <c r="D46" t="s">
        <v>36</v>
      </c>
      <c r="E46" t="s">
        <v>54</v>
      </c>
      <c r="F46" t="s">
        <v>22</v>
      </c>
      <c r="G46" t="s">
        <v>116</v>
      </c>
      <c r="H46">
        <v>2025</v>
      </c>
      <c r="I46">
        <v>2</v>
      </c>
      <c r="J46" t="s">
        <v>84</v>
      </c>
      <c r="K46" t="s">
        <v>41</v>
      </c>
      <c r="L46" t="s">
        <v>85</v>
      </c>
      <c r="M46">
        <v>0</v>
      </c>
      <c r="N46">
        <v>8</v>
      </c>
      <c r="O46">
        <v>0</v>
      </c>
      <c r="P46">
        <v>0</v>
      </c>
      <c r="Q46">
        <v>0</v>
      </c>
      <c r="R46">
        <v>0</v>
      </c>
      <c r="AL46">
        <v>45</v>
      </c>
      <c r="AM46" t="s">
        <v>511</v>
      </c>
      <c r="AN46" t="s">
        <v>462</v>
      </c>
      <c r="AO46">
        <v>0.5380761899314308</v>
      </c>
      <c r="AP46" t="str">
        <f t="shared" si="2"/>
        <v/>
      </c>
      <c r="AQ46" t="str">
        <f t="shared" si="3"/>
        <v>C</v>
      </c>
      <c r="AV46">
        <v>45</v>
      </c>
      <c r="AW46" t="s">
        <v>577</v>
      </c>
      <c r="AZ46">
        <v>45</v>
      </c>
      <c r="BA46" t="s">
        <v>578</v>
      </c>
      <c r="BB46" t="s">
        <v>578</v>
      </c>
      <c r="BC46" t="str">
        <f t="shared" si="5"/>
        <v>HEADHEAD</v>
      </c>
      <c r="BG46">
        <v>45</v>
      </c>
      <c r="BH46">
        <v>6</v>
      </c>
      <c r="BM46">
        <v>45</v>
      </c>
      <c r="BN46" t="s">
        <v>36</v>
      </c>
      <c r="BO46" t="s">
        <v>594</v>
      </c>
      <c r="BV46">
        <v>45</v>
      </c>
      <c r="BW46" t="s">
        <v>36</v>
      </c>
      <c r="BX46">
        <v>2</v>
      </c>
      <c r="CC46" t="s">
        <v>43</v>
      </c>
      <c r="CD46">
        <v>85</v>
      </c>
      <c r="CT46" s="16">
        <v>33</v>
      </c>
      <c r="CU46" s="17">
        <v>24</v>
      </c>
      <c r="CV46" s="18">
        <v>0</v>
      </c>
      <c r="CX46" s="16" t="s">
        <v>664</v>
      </c>
      <c r="CY46" s="18">
        <v>30</v>
      </c>
      <c r="DA46" s="16" t="s">
        <v>664</v>
      </c>
      <c r="DB46" s="17">
        <v>30</v>
      </c>
      <c r="DC46" s="18"/>
    </row>
    <row r="47" spans="1:117" ht="15.75" thickBot="1" x14ac:dyDescent="0.3">
      <c r="A47">
        <v>46</v>
      </c>
      <c r="B47" t="s">
        <v>34</v>
      </c>
      <c r="C47" t="s">
        <v>35</v>
      </c>
      <c r="D47" t="s">
        <v>36</v>
      </c>
      <c r="E47" t="s">
        <v>29</v>
      </c>
      <c r="F47" t="s">
        <v>38</v>
      </c>
      <c r="G47" t="s">
        <v>117</v>
      </c>
      <c r="H47">
        <v>2025</v>
      </c>
      <c r="I47">
        <v>9</v>
      </c>
      <c r="J47" t="s">
        <v>24</v>
      </c>
      <c r="K47" t="s">
        <v>25</v>
      </c>
      <c r="L47" t="s">
        <v>61</v>
      </c>
      <c r="M47">
        <v>0</v>
      </c>
      <c r="N47">
        <v>8</v>
      </c>
      <c r="O47">
        <v>0</v>
      </c>
      <c r="P47">
        <v>0</v>
      </c>
      <c r="Q47">
        <v>0</v>
      </c>
      <c r="R47">
        <v>0</v>
      </c>
      <c r="AL47">
        <v>46</v>
      </c>
      <c r="AM47" t="s">
        <v>512</v>
      </c>
      <c r="AN47" t="s">
        <v>462</v>
      </c>
      <c r="AO47">
        <v>0.53441300902961031</v>
      </c>
      <c r="AP47" t="str">
        <f t="shared" si="2"/>
        <v/>
      </c>
      <c r="AQ47" t="str">
        <f t="shared" si="3"/>
        <v>C</v>
      </c>
      <c r="AV47">
        <v>46</v>
      </c>
      <c r="AW47" t="s">
        <v>577</v>
      </c>
      <c r="AZ47">
        <v>46</v>
      </c>
      <c r="BA47" t="s">
        <v>577</v>
      </c>
      <c r="BB47" t="s">
        <v>578</v>
      </c>
      <c r="BC47" t="str">
        <f t="shared" si="5"/>
        <v>TAILHEAD</v>
      </c>
      <c r="BG47">
        <v>46</v>
      </c>
      <c r="BH47">
        <v>5</v>
      </c>
      <c r="BM47">
        <v>46</v>
      </c>
      <c r="BN47" t="s">
        <v>20</v>
      </c>
      <c r="BO47" t="s">
        <v>595</v>
      </c>
      <c r="BV47">
        <v>46</v>
      </c>
      <c r="BW47" t="s">
        <v>20</v>
      </c>
      <c r="BX47">
        <v>1</v>
      </c>
      <c r="CC47" t="s">
        <v>35</v>
      </c>
      <c r="CD47">
        <v>81</v>
      </c>
      <c r="CT47" s="16">
        <v>27</v>
      </c>
      <c r="CU47" s="17">
        <v>28</v>
      </c>
      <c r="CV47" s="18">
        <v>0</v>
      </c>
      <c r="CX47" s="16" t="s">
        <v>665</v>
      </c>
      <c r="CY47" s="18">
        <v>9</v>
      </c>
      <c r="DA47" s="16" t="s">
        <v>665</v>
      </c>
      <c r="DB47" s="17">
        <v>9</v>
      </c>
      <c r="DC47" s="18"/>
      <c r="DE47" t="s">
        <v>691</v>
      </c>
    </row>
    <row r="48" spans="1:117" x14ac:dyDescent="0.25">
      <c r="A48">
        <v>47</v>
      </c>
      <c r="B48" t="s">
        <v>18</v>
      </c>
      <c r="C48" t="s">
        <v>19</v>
      </c>
      <c r="D48" t="s">
        <v>20</v>
      </c>
      <c r="E48" t="s">
        <v>49</v>
      </c>
      <c r="F48" t="s">
        <v>22</v>
      </c>
      <c r="G48" t="s">
        <v>118</v>
      </c>
      <c r="H48">
        <v>2024</v>
      </c>
      <c r="I48">
        <v>3</v>
      </c>
      <c r="J48" t="s">
        <v>40</v>
      </c>
      <c r="K48" t="s">
        <v>41</v>
      </c>
      <c r="L48" t="s">
        <v>45</v>
      </c>
      <c r="M48">
        <v>1</v>
      </c>
      <c r="N48">
        <v>8</v>
      </c>
      <c r="O48">
        <v>0</v>
      </c>
      <c r="P48">
        <v>0</v>
      </c>
      <c r="Q48">
        <v>0</v>
      </c>
      <c r="R48">
        <v>0</v>
      </c>
      <c r="AL48">
        <v>47</v>
      </c>
      <c r="AM48" t="s">
        <v>513</v>
      </c>
      <c r="AN48" t="s">
        <v>462</v>
      </c>
      <c r="AO48">
        <v>0.50760168722791077</v>
      </c>
      <c r="AP48" t="str">
        <f t="shared" si="2"/>
        <v/>
      </c>
      <c r="AQ48" t="str">
        <f t="shared" si="3"/>
        <v>C</v>
      </c>
      <c r="AV48">
        <v>47</v>
      </c>
      <c r="AW48" t="s">
        <v>578</v>
      </c>
      <c r="AZ48">
        <v>47</v>
      </c>
      <c r="BA48" t="s">
        <v>577</v>
      </c>
      <c r="BB48" t="s">
        <v>578</v>
      </c>
      <c r="BC48" t="str">
        <f t="shared" si="5"/>
        <v>TAILHEAD</v>
      </c>
      <c r="BG48">
        <v>47</v>
      </c>
      <c r="BH48">
        <v>5</v>
      </c>
      <c r="BM48">
        <v>47</v>
      </c>
      <c r="BN48" t="s">
        <v>20</v>
      </c>
      <c r="BO48" t="s">
        <v>594</v>
      </c>
      <c r="BV48">
        <v>47</v>
      </c>
      <c r="BW48" t="s">
        <v>20</v>
      </c>
      <c r="BX48">
        <v>1</v>
      </c>
      <c r="CC48" t="s">
        <v>19</v>
      </c>
      <c r="CD48">
        <v>68</v>
      </c>
      <c r="CT48" s="16">
        <v>34</v>
      </c>
      <c r="CU48" s="17">
        <v>25</v>
      </c>
      <c r="CV48" s="18">
        <v>0</v>
      </c>
      <c r="CX48" s="16" t="s">
        <v>666</v>
      </c>
      <c r="CY48" s="18">
        <v>-2.4143354249236895</v>
      </c>
      <c r="DA48" s="16" t="s">
        <v>666</v>
      </c>
      <c r="DB48" s="17">
        <v>-14.483008637843868</v>
      </c>
      <c r="DC48" s="18"/>
      <c r="DE48" s="52"/>
      <c r="DF48" s="52" t="s">
        <v>665</v>
      </c>
      <c r="DG48" s="52" t="s">
        <v>693</v>
      </c>
      <c r="DH48" s="52" t="s">
        <v>694</v>
      </c>
      <c r="DI48" s="52" t="s">
        <v>36</v>
      </c>
      <c r="DJ48" s="52" t="s">
        <v>720</v>
      </c>
    </row>
    <row r="49" spans="1:117" x14ac:dyDescent="0.25">
      <c r="A49">
        <v>48</v>
      </c>
      <c r="B49" t="s">
        <v>34</v>
      </c>
      <c r="C49" t="s">
        <v>35</v>
      </c>
      <c r="D49" t="s">
        <v>36</v>
      </c>
      <c r="E49" t="s">
        <v>29</v>
      </c>
      <c r="F49" t="s">
        <v>38</v>
      </c>
      <c r="G49" t="s">
        <v>119</v>
      </c>
      <c r="H49">
        <v>2025</v>
      </c>
      <c r="I49">
        <v>4</v>
      </c>
      <c r="J49" t="s">
        <v>89</v>
      </c>
      <c r="K49" t="s">
        <v>48</v>
      </c>
      <c r="L49" t="s">
        <v>61</v>
      </c>
      <c r="M49">
        <v>0</v>
      </c>
      <c r="N49">
        <v>8</v>
      </c>
      <c r="O49">
        <v>0</v>
      </c>
      <c r="P49">
        <v>0</v>
      </c>
      <c r="Q49">
        <v>0</v>
      </c>
      <c r="R49">
        <v>0</v>
      </c>
      <c r="AL49">
        <v>48</v>
      </c>
      <c r="AM49" t="s">
        <v>514</v>
      </c>
      <c r="AN49" t="s">
        <v>462</v>
      </c>
      <c r="AO49">
        <v>0.49411214165419093</v>
      </c>
      <c r="AP49" t="str">
        <f t="shared" si="2"/>
        <v/>
      </c>
      <c r="AQ49" t="str">
        <f t="shared" si="3"/>
        <v>C</v>
      </c>
      <c r="AV49">
        <v>48</v>
      </c>
      <c r="AW49" t="s">
        <v>578</v>
      </c>
      <c r="AZ49">
        <v>48</v>
      </c>
      <c r="BA49" t="s">
        <v>577</v>
      </c>
      <c r="BB49" t="s">
        <v>577</v>
      </c>
      <c r="BC49" t="str">
        <f t="shared" si="5"/>
        <v>TAILTAIL</v>
      </c>
      <c r="BG49">
        <v>48</v>
      </c>
      <c r="BH49">
        <v>2</v>
      </c>
      <c r="BM49">
        <v>48</v>
      </c>
      <c r="BN49" t="s">
        <v>20</v>
      </c>
      <c r="BO49" t="s">
        <v>595</v>
      </c>
      <c r="BV49">
        <v>48</v>
      </c>
      <c r="BW49" t="s">
        <v>20</v>
      </c>
      <c r="BX49">
        <v>5</v>
      </c>
      <c r="CC49" t="s">
        <v>35</v>
      </c>
      <c r="CD49">
        <v>88</v>
      </c>
      <c r="CT49" s="20">
        <v>34</v>
      </c>
      <c r="CU49" s="21">
        <v>24</v>
      </c>
      <c r="CV49" s="22">
        <v>0</v>
      </c>
      <c r="CX49" s="16" t="s">
        <v>667</v>
      </c>
      <c r="CY49" s="18">
        <v>1.9485487712472362E-2</v>
      </c>
      <c r="DA49" s="16" t="s">
        <v>667</v>
      </c>
      <c r="DB49" s="17">
        <v>7.6462625402139722E-8</v>
      </c>
      <c r="DC49" s="18"/>
      <c r="DE49" s="50" t="s">
        <v>717</v>
      </c>
      <c r="DF49" s="50">
        <v>1</v>
      </c>
      <c r="DG49" s="50">
        <v>49.207983898020807</v>
      </c>
      <c r="DH49" s="50">
        <v>49.207983898020807</v>
      </c>
      <c r="DI49" s="50">
        <v>7.675274843465675</v>
      </c>
      <c r="DJ49" s="50">
        <v>2.1738268100873575E-2</v>
      </c>
    </row>
    <row r="50" spans="1:117" x14ac:dyDescent="0.25">
      <c r="A50">
        <v>49</v>
      </c>
      <c r="B50" t="s">
        <v>18</v>
      </c>
      <c r="C50" t="s">
        <v>19</v>
      </c>
      <c r="D50" t="s">
        <v>20</v>
      </c>
      <c r="E50" t="s">
        <v>29</v>
      </c>
      <c r="F50" t="s">
        <v>22</v>
      </c>
      <c r="G50" t="s">
        <v>120</v>
      </c>
      <c r="H50">
        <v>2025</v>
      </c>
      <c r="I50">
        <v>12</v>
      </c>
      <c r="J50" t="s">
        <v>51</v>
      </c>
      <c r="K50" t="s">
        <v>52</v>
      </c>
      <c r="L50" t="s">
        <v>77</v>
      </c>
      <c r="M50">
        <v>0</v>
      </c>
      <c r="N50">
        <v>8</v>
      </c>
      <c r="O50">
        <v>0</v>
      </c>
      <c r="P50">
        <v>0</v>
      </c>
      <c r="Q50">
        <v>0</v>
      </c>
      <c r="R50">
        <v>0</v>
      </c>
      <c r="AL50">
        <v>49</v>
      </c>
      <c r="AM50" t="s">
        <v>515</v>
      </c>
      <c r="AN50" t="s">
        <v>462</v>
      </c>
      <c r="AO50">
        <v>0.49317845904722923</v>
      </c>
      <c r="AP50" t="str">
        <f t="shared" si="2"/>
        <v/>
      </c>
      <c r="AQ50" t="str">
        <f t="shared" si="3"/>
        <v>C</v>
      </c>
      <c r="AV50">
        <v>49</v>
      </c>
      <c r="AW50" t="s">
        <v>578</v>
      </c>
      <c r="AZ50">
        <v>49</v>
      </c>
      <c r="BA50" t="s">
        <v>577</v>
      </c>
      <c r="BB50" t="s">
        <v>577</v>
      </c>
      <c r="BC50" t="str">
        <f t="shared" si="5"/>
        <v>TAILTAIL</v>
      </c>
      <c r="BG50">
        <v>49</v>
      </c>
      <c r="BH50">
        <v>2</v>
      </c>
      <c r="BM50">
        <v>49</v>
      </c>
      <c r="BN50" t="s">
        <v>20</v>
      </c>
      <c r="BO50" t="s">
        <v>595</v>
      </c>
      <c r="BV50">
        <v>49</v>
      </c>
      <c r="BW50" t="s">
        <v>20</v>
      </c>
      <c r="BX50">
        <v>3</v>
      </c>
      <c r="CC50" t="s">
        <v>19</v>
      </c>
      <c r="CD50">
        <v>90</v>
      </c>
      <c r="CX50" s="16" t="s">
        <v>668</v>
      </c>
      <c r="CY50" s="18">
        <v>1.8331129326562374</v>
      </c>
      <c r="DA50" s="16" t="s">
        <v>668</v>
      </c>
      <c r="DB50" s="17">
        <v>1.8331129326562374</v>
      </c>
      <c r="DC50" s="18"/>
      <c r="DE50" s="50" t="s">
        <v>718</v>
      </c>
      <c r="DF50" s="50">
        <v>9</v>
      </c>
      <c r="DG50" s="50">
        <v>57.7011070110701</v>
      </c>
      <c r="DH50" s="50">
        <v>6.4112341123411225</v>
      </c>
      <c r="DI50" s="50"/>
      <c r="DJ50" s="50"/>
    </row>
    <row r="51" spans="1:117" ht="15.75" thickBot="1" x14ac:dyDescent="0.3">
      <c r="A51">
        <v>50</v>
      </c>
      <c r="B51" t="s">
        <v>79</v>
      </c>
      <c r="C51" t="s">
        <v>80</v>
      </c>
      <c r="D51" t="s">
        <v>20</v>
      </c>
      <c r="E51" t="s">
        <v>37</v>
      </c>
      <c r="F51" t="s">
        <v>81</v>
      </c>
      <c r="G51" t="s">
        <v>121</v>
      </c>
      <c r="H51">
        <v>2025</v>
      </c>
      <c r="I51">
        <v>5</v>
      </c>
      <c r="J51" t="s">
        <v>47</v>
      </c>
      <c r="K51" t="s">
        <v>48</v>
      </c>
      <c r="L51" t="s">
        <v>85</v>
      </c>
      <c r="M51">
        <v>0</v>
      </c>
      <c r="N51">
        <v>8</v>
      </c>
      <c r="O51">
        <v>0</v>
      </c>
      <c r="P51">
        <v>0</v>
      </c>
      <c r="Q51">
        <v>0</v>
      </c>
      <c r="R51">
        <v>0</v>
      </c>
      <c r="AL51">
        <v>50</v>
      </c>
      <c r="AM51" t="s">
        <v>516</v>
      </c>
      <c r="AN51" t="s">
        <v>462</v>
      </c>
      <c r="AO51">
        <v>0.49141727409498093</v>
      </c>
      <c r="AP51" t="str">
        <f t="shared" si="2"/>
        <v/>
      </c>
      <c r="AQ51" t="str">
        <f t="shared" si="3"/>
        <v>C</v>
      </c>
      <c r="AV51">
        <v>50</v>
      </c>
      <c r="AW51" t="s">
        <v>577</v>
      </c>
      <c r="AZ51">
        <v>50</v>
      </c>
      <c r="BA51" t="s">
        <v>578</v>
      </c>
      <c r="BB51" t="s">
        <v>578</v>
      </c>
      <c r="BC51" t="str">
        <f t="shared" si="5"/>
        <v>HEADHEAD</v>
      </c>
      <c r="BG51">
        <v>50</v>
      </c>
      <c r="BH51">
        <v>5</v>
      </c>
      <c r="BM51">
        <v>50</v>
      </c>
      <c r="BN51" t="s">
        <v>36</v>
      </c>
      <c r="BO51" t="s">
        <v>595</v>
      </c>
      <c r="BV51">
        <v>50</v>
      </c>
      <c r="BW51" t="s">
        <v>36</v>
      </c>
      <c r="BX51">
        <v>2</v>
      </c>
      <c r="CC51" t="s">
        <v>80</v>
      </c>
      <c r="CD51">
        <v>73</v>
      </c>
      <c r="CX51" s="16" t="s">
        <v>669</v>
      </c>
      <c r="CY51" s="18">
        <v>3.8970975424944723E-2</v>
      </c>
      <c r="DA51" s="16" t="s">
        <v>669</v>
      </c>
      <c r="DB51" s="17">
        <v>1.5292525080427944E-7</v>
      </c>
      <c r="DC51" s="18"/>
      <c r="DE51" s="51" t="s">
        <v>699</v>
      </c>
      <c r="DF51" s="51">
        <v>10</v>
      </c>
      <c r="DG51" s="51">
        <v>106.90909090909091</v>
      </c>
      <c r="DH51" s="51"/>
      <c r="DI51" s="51"/>
      <c r="DJ51" s="51"/>
    </row>
    <row r="52" spans="1:117" ht="15.75" thickBot="1" x14ac:dyDescent="0.3">
      <c r="A52">
        <v>51</v>
      </c>
      <c r="B52" t="s">
        <v>122</v>
      </c>
      <c r="C52" t="s">
        <v>123</v>
      </c>
      <c r="D52" t="s">
        <v>20</v>
      </c>
      <c r="E52" t="s">
        <v>54</v>
      </c>
      <c r="F52" t="s">
        <v>71</v>
      </c>
      <c r="G52" t="s">
        <v>124</v>
      </c>
      <c r="H52">
        <v>2025</v>
      </c>
      <c r="I52">
        <v>3</v>
      </c>
      <c r="J52" t="s">
        <v>40</v>
      </c>
      <c r="K52" t="s">
        <v>41</v>
      </c>
      <c r="L52" t="s">
        <v>85</v>
      </c>
      <c r="M52">
        <v>0</v>
      </c>
      <c r="N52">
        <v>8</v>
      </c>
      <c r="O52">
        <v>0</v>
      </c>
      <c r="P52">
        <v>0</v>
      </c>
      <c r="Q52">
        <v>0</v>
      </c>
      <c r="R52">
        <v>0</v>
      </c>
      <c r="AL52">
        <v>51</v>
      </c>
      <c r="AM52" t="s">
        <v>517</v>
      </c>
      <c r="AN52" t="s">
        <v>466</v>
      </c>
      <c r="AO52">
        <v>0.48412103806510653</v>
      </c>
      <c r="AP52" t="str">
        <f t="shared" si="2"/>
        <v/>
      </c>
      <c r="AQ52" t="str">
        <f t="shared" si="3"/>
        <v>F</v>
      </c>
      <c r="AV52">
        <v>51</v>
      </c>
      <c r="AW52" t="s">
        <v>578</v>
      </c>
      <c r="AZ52">
        <v>51</v>
      </c>
      <c r="BA52" t="s">
        <v>578</v>
      </c>
      <c r="BB52" t="s">
        <v>578</v>
      </c>
      <c r="BC52" t="str">
        <f t="shared" si="5"/>
        <v>HEADHEAD</v>
      </c>
      <c r="BG52">
        <v>51</v>
      </c>
      <c r="BH52">
        <v>3</v>
      </c>
      <c r="BM52">
        <v>51</v>
      </c>
      <c r="BN52" t="s">
        <v>36</v>
      </c>
      <c r="BO52" t="s">
        <v>594</v>
      </c>
      <c r="BV52">
        <v>51</v>
      </c>
      <c r="BW52" t="s">
        <v>36</v>
      </c>
      <c r="BX52">
        <v>3</v>
      </c>
      <c r="CC52" t="s">
        <v>123</v>
      </c>
      <c r="CD52">
        <v>87</v>
      </c>
      <c r="CX52" s="20" t="s">
        <v>670</v>
      </c>
      <c r="CY52" s="22">
        <v>2.2621571627982053</v>
      </c>
      <c r="DA52" s="20" t="s">
        <v>670</v>
      </c>
      <c r="DB52" s="21">
        <v>2.2621571627982053</v>
      </c>
      <c r="DC52" s="22"/>
    </row>
    <row r="53" spans="1:117" x14ac:dyDescent="0.25">
      <c r="A53">
        <v>52</v>
      </c>
      <c r="B53" t="s">
        <v>57</v>
      </c>
      <c r="C53" t="s">
        <v>58</v>
      </c>
      <c r="D53" t="s">
        <v>36</v>
      </c>
      <c r="E53" t="s">
        <v>29</v>
      </c>
      <c r="F53" t="s">
        <v>59</v>
      </c>
      <c r="G53" t="s">
        <v>125</v>
      </c>
      <c r="H53">
        <v>2025</v>
      </c>
      <c r="I53">
        <v>8</v>
      </c>
      <c r="J53" t="s">
        <v>107</v>
      </c>
      <c r="K53" t="s">
        <v>25</v>
      </c>
      <c r="L53" t="s">
        <v>77</v>
      </c>
      <c r="M53">
        <v>0</v>
      </c>
      <c r="N53">
        <v>8</v>
      </c>
      <c r="O53">
        <v>0</v>
      </c>
      <c r="P53">
        <v>0</v>
      </c>
      <c r="Q53">
        <v>0</v>
      </c>
      <c r="R53">
        <v>0</v>
      </c>
      <c r="AL53">
        <v>52</v>
      </c>
      <c r="AM53" t="s">
        <v>518</v>
      </c>
      <c r="AN53" t="s">
        <v>466</v>
      </c>
      <c r="AO53">
        <v>0.46695416999473527</v>
      </c>
      <c r="AP53" t="str">
        <f t="shared" si="2"/>
        <v>selected</v>
      </c>
      <c r="AQ53" t="str">
        <f t="shared" si="3"/>
        <v>F</v>
      </c>
      <c r="AV53">
        <v>52</v>
      </c>
      <c r="AW53" t="s">
        <v>578</v>
      </c>
      <c r="AZ53">
        <v>52</v>
      </c>
      <c r="BA53" t="s">
        <v>577</v>
      </c>
      <c r="BB53" t="s">
        <v>578</v>
      </c>
      <c r="BC53" t="str">
        <f t="shared" si="5"/>
        <v>TAILHEAD</v>
      </c>
      <c r="BG53">
        <v>52</v>
      </c>
      <c r="BH53">
        <v>6</v>
      </c>
      <c r="BM53">
        <v>52</v>
      </c>
      <c r="BN53" t="s">
        <v>36</v>
      </c>
      <c r="BO53" t="s">
        <v>595</v>
      </c>
      <c r="BV53">
        <v>52</v>
      </c>
      <c r="BW53" t="s">
        <v>36</v>
      </c>
      <c r="BX53">
        <v>2</v>
      </c>
      <c r="CC53" t="s">
        <v>58</v>
      </c>
      <c r="CD53">
        <v>88</v>
      </c>
      <c r="CT53" s="35"/>
      <c r="CU53" s="35"/>
      <c r="CV53" s="35"/>
      <c r="DE53" s="52"/>
      <c r="DF53" s="52" t="s">
        <v>721</v>
      </c>
      <c r="DG53" s="52" t="s">
        <v>716</v>
      </c>
      <c r="DH53" s="52" t="s">
        <v>666</v>
      </c>
      <c r="DI53" s="52" t="s">
        <v>695</v>
      </c>
      <c r="DJ53" s="52" t="s">
        <v>722</v>
      </c>
      <c r="DK53" s="52" t="s">
        <v>723</v>
      </c>
      <c r="DL53" s="52" t="s">
        <v>724</v>
      </c>
      <c r="DM53" s="52" t="s">
        <v>725</v>
      </c>
    </row>
    <row r="54" spans="1:117" x14ac:dyDescent="0.25">
      <c r="A54">
        <v>53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126</v>
      </c>
      <c r="H54">
        <v>2024</v>
      </c>
      <c r="I54">
        <v>10</v>
      </c>
      <c r="J54" t="s">
        <v>105</v>
      </c>
      <c r="K54" t="s">
        <v>52</v>
      </c>
      <c r="L54" t="s">
        <v>61</v>
      </c>
      <c r="M54">
        <v>0</v>
      </c>
      <c r="N54">
        <v>8</v>
      </c>
      <c r="O54">
        <v>0</v>
      </c>
      <c r="P54">
        <v>0</v>
      </c>
      <c r="Q54">
        <v>0</v>
      </c>
      <c r="R54">
        <v>0</v>
      </c>
      <c r="AL54">
        <v>53</v>
      </c>
      <c r="AM54" t="s">
        <v>519</v>
      </c>
      <c r="AN54" t="s">
        <v>466</v>
      </c>
      <c r="AO54">
        <v>0.46426059217082105</v>
      </c>
      <c r="AP54" t="str">
        <f t="shared" si="2"/>
        <v/>
      </c>
      <c r="AQ54" t="str">
        <f t="shared" si="3"/>
        <v>F</v>
      </c>
      <c r="AV54">
        <v>53</v>
      </c>
      <c r="AW54" t="s">
        <v>578</v>
      </c>
      <c r="AZ54">
        <v>53</v>
      </c>
      <c r="BA54" t="s">
        <v>578</v>
      </c>
      <c r="BB54" t="s">
        <v>577</v>
      </c>
      <c r="BC54" t="str">
        <f t="shared" si="5"/>
        <v>HEADTAIL</v>
      </c>
      <c r="BG54">
        <v>53</v>
      </c>
      <c r="BH54">
        <v>6</v>
      </c>
      <c r="BM54">
        <v>53</v>
      </c>
      <c r="BN54" t="s">
        <v>36</v>
      </c>
      <c r="BO54" t="s">
        <v>594</v>
      </c>
      <c r="BV54">
        <v>53</v>
      </c>
      <c r="BW54" t="s">
        <v>36</v>
      </c>
      <c r="BX54">
        <v>4</v>
      </c>
      <c r="CC54" t="s">
        <v>19</v>
      </c>
      <c r="CD54">
        <v>61</v>
      </c>
      <c r="DE54" s="50" t="s">
        <v>719</v>
      </c>
      <c r="DF54" s="50">
        <v>49.245387453874535</v>
      </c>
      <c r="DG54" s="50">
        <v>7.0211617612895729</v>
      </c>
      <c r="DH54" s="50">
        <v>7.0138517140259795</v>
      </c>
      <c r="DI54" s="50">
        <v>6.2288312776577395E-5</v>
      </c>
      <c r="DJ54" s="50">
        <v>33.362416084408466</v>
      </c>
      <c r="DK54" s="50">
        <v>65.128358823340605</v>
      </c>
      <c r="DL54" s="50">
        <v>33.362416084408466</v>
      </c>
      <c r="DM54" s="50">
        <v>65.128358823340605</v>
      </c>
    </row>
    <row r="55" spans="1:117" x14ac:dyDescent="0.25">
      <c r="A55">
        <v>54</v>
      </c>
      <c r="B55" t="s">
        <v>62</v>
      </c>
      <c r="C55" t="s">
        <v>63</v>
      </c>
      <c r="D55" t="s">
        <v>20</v>
      </c>
      <c r="E55" t="s">
        <v>29</v>
      </c>
      <c r="F55" t="s">
        <v>38</v>
      </c>
      <c r="G55" t="s">
        <v>127</v>
      </c>
      <c r="H55">
        <v>2024</v>
      </c>
      <c r="I55">
        <v>3</v>
      </c>
      <c r="J55" t="s">
        <v>40</v>
      </c>
      <c r="K55" t="s">
        <v>41</v>
      </c>
      <c r="L55" t="s">
        <v>77</v>
      </c>
      <c r="M55">
        <v>0</v>
      </c>
      <c r="N55">
        <v>8</v>
      </c>
      <c r="O55">
        <v>1</v>
      </c>
      <c r="P55">
        <v>0</v>
      </c>
      <c r="Q55">
        <v>61</v>
      </c>
      <c r="R55">
        <v>5</v>
      </c>
      <c r="AL55">
        <v>54</v>
      </c>
      <c r="AM55" t="s">
        <v>520</v>
      </c>
      <c r="AN55" t="s">
        <v>466</v>
      </c>
      <c r="AO55">
        <v>0.46375108698106426</v>
      </c>
      <c r="AP55" t="str">
        <f t="shared" si="2"/>
        <v/>
      </c>
      <c r="AQ55" t="str">
        <f t="shared" si="3"/>
        <v>F</v>
      </c>
      <c r="AV55">
        <v>54</v>
      </c>
      <c r="AW55" t="s">
        <v>577</v>
      </c>
      <c r="AZ55">
        <v>54</v>
      </c>
      <c r="BA55" t="s">
        <v>578</v>
      </c>
      <c r="BB55" t="s">
        <v>577</v>
      </c>
      <c r="BC55" t="str">
        <f t="shared" si="5"/>
        <v>HEADTAIL</v>
      </c>
      <c r="BG55">
        <v>54</v>
      </c>
      <c r="BH55">
        <v>6</v>
      </c>
      <c r="BM55">
        <v>54</v>
      </c>
      <c r="BN55" t="s">
        <v>36</v>
      </c>
      <c r="BO55" t="s">
        <v>594</v>
      </c>
      <c r="BV55">
        <v>54</v>
      </c>
      <c r="BW55" t="s">
        <v>36</v>
      </c>
      <c r="BX55">
        <v>2</v>
      </c>
      <c r="CC55" t="s">
        <v>63</v>
      </c>
      <c r="CD55">
        <v>65</v>
      </c>
      <c r="DE55" s="50" t="s">
        <v>657</v>
      </c>
      <c r="DF55" s="50">
        <v>-0.70664206642066407</v>
      </c>
      <c r="DG55" s="50">
        <v>0.25506596939119291</v>
      </c>
      <c r="DH55" s="50">
        <v>-2.7704286389412145</v>
      </c>
      <c r="DI55" s="50">
        <v>2.1738268100873603E-2</v>
      </c>
      <c r="DJ55" s="50">
        <v>-1.2836413760650189</v>
      </c>
      <c r="DK55" s="50">
        <v>-0.12964275677630921</v>
      </c>
      <c r="DL55" s="50">
        <v>-1.2836413760650189</v>
      </c>
      <c r="DM55" s="50">
        <v>-0.12964275677630921</v>
      </c>
    </row>
    <row r="56" spans="1:117" x14ac:dyDescent="0.25">
      <c r="A56">
        <v>55</v>
      </c>
      <c r="B56" t="s">
        <v>69</v>
      </c>
      <c r="C56" t="s">
        <v>70</v>
      </c>
      <c r="D56" t="s">
        <v>36</v>
      </c>
      <c r="E56" t="s">
        <v>54</v>
      </c>
      <c r="F56" t="s">
        <v>71</v>
      </c>
      <c r="G56" t="s">
        <v>128</v>
      </c>
      <c r="H56">
        <v>2024</v>
      </c>
      <c r="I56">
        <v>9</v>
      </c>
      <c r="J56" t="s">
        <v>24</v>
      </c>
      <c r="K56" t="s">
        <v>25</v>
      </c>
      <c r="L56" t="s">
        <v>33</v>
      </c>
      <c r="M56">
        <v>0</v>
      </c>
      <c r="N56">
        <v>8</v>
      </c>
      <c r="O56">
        <v>1</v>
      </c>
      <c r="P56">
        <v>1</v>
      </c>
      <c r="Q56">
        <v>62</v>
      </c>
      <c r="R56">
        <v>0</v>
      </c>
      <c r="AL56">
        <v>55</v>
      </c>
      <c r="AM56" t="s">
        <v>521</v>
      </c>
      <c r="AN56" t="s">
        <v>466</v>
      </c>
      <c r="AO56">
        <v>0.46188798577055612</v>
      </c>
      <c r="AP56" t="str">
        <f t="shared" si="2"/>
        <v/>
      </c>
      <c r="AQ56" t="str">
        <f t="shared" si="3"/>
        <v>F</v>
      </c>
      <c r="AV56">
        <v>55</v>
      </c>
      <c r="AW56" t="s">
        <v>578</v>
      </c>
      <c r="AZ56">
        <v>55</v>
      </c>
      <c r="BA56" t="s">
        <v>578</v>
      </c>
      <c r="BB56" t="s">
        <v>577</v>
      </c>
      <c r="BC56" t="str">
        <f t="shared" si="5"/>
        <v>HEADTAIL</v>
      </c>
      <c r="BG56">
        <v>55</v>
      </c>
      <c r="BH56">
        <v>2</v>
      </c>
      <c r="BM56">
        <v>55</v>
      </c>
      <c r="BN56" t="s">
        <v>36</v>
      </c>
      <c r="BO56" t="s">
        <v>595</v>
      </c>
      <c r="BV56">
        <v>55</v>
      </c>
      <c r="BW56" t="s">
        <v>36</v>
      </c>
      <c r="BX56">
        <v>2</v>
      </c>
      <c r="CC56" t="s">
        <v>70</v>
      </c>
      <c r="CD56">
        <v>92</v>
      </c>
      <c r="CT56">
        <f>_xlfn.T.TEST(Table10[MALE],Table10[FEMALE],2,1)</f>
        <v>0.18101499026445311</v>
      </c>
      <c r="CV56" t="s">
        <v>674</v>
      </c>
      <c r="CW56" t="s">
        <v>675</v>
      </c>
    </row>
    <row r="57" spans="1:117" x14ac:dyDescent="0.25">
      <c r="A57">
        <v>56</v>
      </c>
      <c r="B57" t="s">
        <v>79</v>
      </c>
      <c r="C57" t="s">
        <v>80</v>
      </c>
      <c r="D57" t="s">
        <v>20</v>
      </c>
      <c r="E57" t="s">
        <v>49</v>
      </c>
      <c r="F57" t="s">
        <v>81</v>
      </c>
      <c r="G57" t="s">
        <v>129</v>
      </c>
      <c r="H57">
        <v>2025</v>
      </c>
      <c r="I57">
        <v>3</v>
      </c>
      <c r="J57" t="s">
        <v>40</v>
      </c>
      <c r="K57" t="s">
        <v>41</v>
      </c>
      <c r="L57" t="s">
        <v>45</v>
      </c>
      <c r="M57">
        <v>1</v>
      </c>
      <c r="N57">
        <v>8</v>
      </c>
      <c r="O57">
        <v>0</v>
      </c>
      <c r="P57">
        <v>0</v>
      </c>
      <c r="Q57">
        <v>0</v>
      </c>
      <c r="R57">
        <v>0</v>
      </c>
      <c r="AL57">
        <v>56</v>
      </c>
      <c r="AM57" t="s">
        <v>522</v>
      </c>
      <c r="AN57" t="s">
        <v>466</v>
      </c>
      <c r="AO57">
        <v>0.44233101393750285</v>
      </c>
      <c r="AP57" t="str">
        <f t="shared" si="2"/>
        <v/>
      </c>
      <c r="AQ57" t="str">
        <f t="shared" si="3"/>
        <v>F</v>
      </c>
      <c r="AV57">
        <v>56</v>
      </c>
      <c r="AW57" t="s">
        <v>577</v>
      </c>
      <c r="AZ57">
        <v>56</v>
      </c>
      <c r="BA57" t="s">
        <v>578</v>
      </c>
      <c r="BB57" t="s">
        <v>578</v>
      </c>
      <c r="BC57" t="str">
        <f t="shared" si="5"/>
        <v>HEADHEAD</v>
      </c>
      <c r="BG57">
        <v>56</v>
      </c>
      <c r="BH57">
        <v>5</v>
      </c>
      <c r="BM57">
        <v>56</v>
      </c>
      <c r="BN57" t="s">
        <v>36</v>
      </c>
      <c r="BO57" t="s">
        <v>594</v>
      </c>
      <c r="BV57">
        <v>56</v>
      </c>
      <c r="BW57" t="s">
        <v>36</v>
      </c>
      <c r="BX57">
        <v>1</v>
      </c>
      <c r="CC57" t="s">
        <v>80</v>
      </c>
      <c r="CD57">
        <v>75</v>
      </c>
      <c r="CV57">
        <f>_xlfn.VAR.S(Table10[MALE])</f>
        <v>10.690909090909008</v>
      </c>
      <c r="CW57">
        <f>_xlfn.VAR.S(Table10[FEMALE])</f>
        <v>9.8545454545454056</v>
      </c>
    </row>
    <row r="58" spans="1:117" x14ac:dyDescent="0.25">
      <c r="A58">
        <v>57</v>
      </c>
      <c r="B58" t="s">
        <v>34</v>
      </c>
      <c r="C58" t="s">
        <v>35</v>
      </c>
      <c r="D58" t="s">
        <v>36</v>
      </c>
      <c r="E58" t="s">
        <v>21</v>
      </c>
      <c r="F58" t="s">
        <v>38</v>
      </c>
      <c r="G58" t="s">
        <v>130</v>
      </c>
      <c r="H58">
        <v>2025</v>
      </c>
      <c r="I58">
        <v>2</v>
      </c>
      <c r="J58" t="s">
        <v>84</v>
      </c>
      <c r="K58" t="s">
        <v>41</v>
      </c>
      <c r="L58" t="s">
        <v>53</v>
      </c>
      <c r="M58">
        <v>1</v>
      </c>
      <c r="N58">
        <v>8</v>
      </c>
      <c r="O58">
        <v>0</v>
      </c>
      <c r="P58">
        <v>0</v>
      </c>
      <c r="Q58">
        <v>0</v>
      </c>
      <c r="R58">
        <v>0</v>
      </c>
      <c r="AL58">
        <v>57</v>
      </c>
      <c r="AM58" t="s">
        <v>523</v>
      </c>
      <c r="AN58" t="s">
        <v>466</v>
      </c>
      <c r="AO58">
        <v>0.43285821510912492</v>
      </c>
      <c r="AP58" t="str">
        <f t="shared" si="2"/>
        <v/>
      </c>
      <c r="AQ58" t="str">
        <f t="shared" si="3"/>
        <v>F</v>
      </c>
      <c r="AV58">
        <v>57</v>
      </c>
      <c r="AW58" t="s">
        <v>577</v>
      </c>
      <c r="AZ58">
        <v>57</v>
      </c>
      <c r="BA58" t="s">
        <v>578</v>
      </c>
      <c r="BB58" t="s">
        <v>578</v>
      </c>
      <c r="BC58" t="str">
        <f t="shared" si="5"/>
        <v>HEADHEAD</v>
      </c>
      <c r="BG58">
        <v>57</v>
      </c>
      <c r="BH58">
        <v>5</v>
      </c>
      <c r="BM58">
        <v>57</v>
      </c>
      <c r="BN58" t="s">
        <v>36</v>
      </c>
      <c r="BO58" t="s">
        <v>594</v>
      </c>
      <c r="BV58">
        <v>57</v>
      </c>
      <c r="BW58" t="s">
        <v>36</v>
      </c>
      <c r="BX58">
        <v>6</v>
      </c>
      <c r="CC58" t="s">
        <v>35</v>
      </c>
      <c r="CD58">
        <v>92</v>
      </c>
    </row>
    <row r="59" spans="1:117" x14ac:dyDescent="0.25">
      <c r="A59">
        <v>58</v>
      </c>
      <c r="B59" t="s">
        <v>122</v>
      </c>
      <c r="C59" t="s">
        <v>123</v>
      </c>
      <c r="D59" t="s">
        <v>20</v>
      </c>
      <c r="E59" t="s">
        <v>54</v>
      </c>
      <c r="F59" t="s">
        <v>71</v>
      </c>
      <c r="G59" t="s">
        <v>131</v>
      </c>
      <c r="H59">
        <v>2025</v>
      </c>
      <c r="I59">
        <v>11</v>
      </c>
      <c r="J59" t="s">
        <v>74</v>
      </c>
      <c r="K59" t="s">
        <v>52</v>
      </c>
      <c r="L59" t="s">
        <v>45</v>
      </c>
      <c r="M59">
        <v>1</v>
      </c>
      <c r="N59">
        <v>8</v>
      </c>
      <c r="O59">
        <v>1</v>
      </c>
      <c r="P59">
        <v>3</v>
      </c>
      <c r="Q59">
        <v>84</v>
      </c>
      <c r="R59">
        <v>8</v>
      </c>
      <c r="AL59">
        <v>58</v>
      </c>
      <c r="AM59" t="s">
        <v>524</v>
      </c>
      <c r="AN59" t="s">
        <v>466</v>
      </c>
      <c r="AO59">
        <v>0.41949820129730997</v>
      </c>
      <c r="AP59" t="str">
        <f t="shared" si="2"/>
        <v/>
      </c>
      <c r="AQ59" t="str">
        <f t="shared" si="3"/>
        <v>F</v>
      </c>
      <c r="AV59">
        <v>58</v>
      </c>
      <c r="AW59" t="s">
        <v>578</v>
      </c>
      <c r="AZ59">
        <v>58</v>
      </c>
      <c r="BA59" t="s">
        <v>577</v>
      </c>
      <c r="BB59" t="s">
        <v>577</v>
      </c>
      <c r="BC59" t="str">
        <f t="shared" si="5"/>
        <v>TAILTAIL</v>
      </c>
      <c r="BG59">
        <v>58</v>
      </c>
      <c r="BH59">
        <v>2</v>
      </c>
      <c r="BM59">
        <v>58</v>
      </c>
      <c r="BN59" t="s">
        <v>36</v>
      </c>
      <c r="BO59" t="s">
        <v>594</v>
      </c>
      <c r="BV59">
        <v>58</v>
      </c>
      <c r="BW59" t="s">
        <v>36</v>
      </c>
      <c r="BX59">
        <v>1</v>
      </c>
      <c r="CC59" t="s">
        <v>123</v>
      </c>
      <c r="CD59">
        <v>77</v>
      </c>
    </row>
    <row r="60" spans="1:117" ht="15.75" x14ac:dyDescent="0.25">
      <c r="A60">
        <v>59</v>
      </c>
      <c r="B60" t="s">
        <v>122</v>
      </c>
      <c r="C60" t="s">
        <v>123</v>
      </c>
      <c r="D60" t="s">
        <v>20</v>
      </c>
      <c r="E60" t="s">
        <v>21</v>
      </c>
      <c r="F60" t="s">
        <v>71</v>
      </c>
      <c r="G60" t="s">
        <v>132</v>
      </c>
      <c r="H60">
        <v>2024</v>
      </c>
      <c r="I60">
        <v>1</v>
      </c>
      <c r="J60" t="s">
        <v>68</v>
      </c>
      <c r="K60" t="s">
        <v>41</v>
      </c>
      <c r="L60" t="s">
        <v>33</v>
      </c>
      <c r="M60">
        <v>0</v>
      </c>
      <c r="N60">
        <v>8</v>
      </c>
      <c r="O60">
        <v>1</v>
      </c>
      <c r="P60">
        <v>3</v>
      </c>
      <c r="Q60">
        <v>92</v>
      </c>
      <c r="R60">
        <v>10</v>
      </c>
      <c r="AL60">
        <v>59</v>
      </c>
      <c r="AM60" t="s">
        <v>525</v>
      </c>
      <c r="AN60" t="s">
        <v>466</v>
      </c>
      <c r="AO60">
        <v>0.4153776561733129</v>
      </c>
      <c r="AP60" t="str">
        <f t="shared" si="2"/>
        <v/>
      </c>
      <c r="AQ60" t="str">
        <f t="shared" si="3"/>
        <v>F</v>
      </c>
      <c r="AV60">
        <v>59</v>
      </c>
      <c r="AW60" t="s">
        <v>577</v>
      </c>
      <c r="AZ60">
        <v>59</v>
      </c>
      <c r="BA60" t="s">
        <v>578</v>
      </c>
      <c r="BB60" t="s">
        <v>577</v>
      </c>
      <c r="BC60" t="str">
        <f t="shared" si="5"/>
        <v>HEADTAIL</v>
      </c>
      <c r="BG60">
        <v>59</v>
      </c>
      <c r="BH60">
        <v>1</v>
      </c>
      <c r="BM60">
        <v>59</v>
      </c>
      <c r="BN60" t="s">
        <v>36</v>
      </c>
      <c r="BO60" t="s">
        <v>595</v>
      </c>
      <c r="BV60">
        <v>59</v>
      </c>
      <c r="BW60" t="s">
        <v>36</v>
      </c>
      <c r="BX60">
        <v>5</v>
      </c>
      <c r="CC60" t="s">
        <v>123</v>
      </c>
      <c r="CD60">
        <v>65</v>
      </c>
      <c r="CX60" s="10" t="s">
        <v>685</v>
      </c>
    </row>
    <row r="61" spans="1:117" ht="15.75" x14ac:dyDescent="0.25">
      <c r="A61">
        <v>60</v>
      </c>
      <c r="B61" t="s">
        <v>42</v>
      </c>
      <c r="C61" t="s">
        <v>43</v>
      </c>
      <c r="D61" t="s">
        <v>36</v>
      </c>
      <c r="E61" t="s">
        <v>54</v>
      </c>
      <c r="F61" t="s">
        <v>22</v>
      </c>
      <c r="G61" t="s">
        <v>133</v>
      </c>
      <c r="H61">
        <v>2024</v>
      </c>
      <c r="I61">
        <v>10</v>
      </c>
      <c r="J61" t="s">
        <v>105</v>
      </c>
      <c r="K61" t="s">
        <v>52</v>
      </c>
      <c r="L61" t="s">
        <v>61</v>
      </c>
      <c r="M61">
        <v>0</v>
      </c>
      <c r="N61">
        <v>8</v>
      </c>
      <c r="O61">
        <v>0</v>
      </c>
      <c r="P61">
        <v>0</v>
      </c>
      <c r="Q61">
        <v>0</v>
      </c>
      <c r="R61">
        <v>0</v>
      </c>
      <c r="AL61">
        <v>60</v>
      </c>
      <c r="AM61" t="s">
        <v>526</v>
      </c>
      <c r="AN61" t="s">
        <v>466</v>
      </c>
      <c r="AO61">
        <v>0.40181858980101492</v>
      </c>
      <c r="AP61" t="str">
        <f t="shared" si="2"/>
        <v/>
      </c>
      <c r="AQ61" t="str">
        <f t="shared" si="3"/>
        <v>F</v>
      </c>
      <c r="AV61">
        <v>60</v>
      </c>
      <c r="AW61" t="s">
        <v>578</v>
      </c>
      <c r="AZ61">
        <v>60</v>
      </c>
      <c r="BA61" t="s">
        <v>578</v>
      </c>
      <c r="BB61" t="s">
        <v>577</v>
      </c>
      <c r="BC61" t="str">
        <f t="shared" si="5"/>
        <v>HEADTAIL</v>
      </c>
      <c r="BG61">
        <v>60</v>
      </c>
      <c r="BH61">
        <v>6</v>
      </c>
      <c r="BM61">
        <v>60</v>
      </c>
      <c r="BN61" t="s">
        <v>36</v>
      </c>
      <c r="BO61" t="s">
        <v>594</v>
      </c>
      <c r="BV61">
        <v>60</v>
      </c>
      <c r="BW61" t="s">
        <v>36</v>
      </c>
      <c r="BX61">
        <v>2</v>
      </c>
      <c r="CC61" t="s">
        <v>43</v>
      </c>
      <c r="CD61">
        <v>68</v>
      </c>
      <c r="CT61" s="10" t="s">
        <v>676</v>
      </c>
    </row>
    <row r="62" spans="1:117" ht="16.5" thickBot="1" x14ac:dyDescent="0.3">
      <c r="A62">
        <v>61</v>
      </c>
      <c r="B62" t="s">
        <v>79</v>
      </c>
      <c r="C62" t="s">
        <v>80</v>
      </c>
      <c r="D62" t="s">
        <v>20</v>
      </c>
      <c r="E62" t="s">
        <v>54</v>
      </c>
      <c r="F62" t="s">
        <v>81</v>
      </c>
      <c r="G62" t="s">
        <v>134</v>
      </c>
      <c r="H62">
        <v>2025</v>
      </c>
      <c r="I62">
        <v>3</v>
      </c>
      <c r="J62" t="s">
        <v>40</v>
      </c>
      <c r="K62" t="s">
        <v>41</v>
      </c>
      <c r="L62" t="s">
        <v>26</v>
      </c>
      <c r="M62">
        <v>0</v>
      </c>
      <c r="N62">
        <v>8</v>
      </c>
      <c r="O62">
        <v>0</v>
      </c>
      <c r="P62">
        <v>0</v>
      </c>
      <c r="Q62">
        <v>0</v>
      </c>
      <c r="R62">
        <v>0</v>
      </c>
      <c r="AL62">
        <v>61</v>
      </c>
      <c r="AM62" t="s">
        <v>527</v>
      </c>
      <c r="AN62" t="s">
        <v>466</v>
      </c>
      <c r="AO62">
        <v>0.39619606089674864</v>
      </c>
      <c r="AP62" t="str">
        <f t="shared" si="2"/>
        <v/>
      </c>
      <c r="AQ62" t="str">
        <f t="shared" si="3"/>
        <v>F</v>
      </c>
      <c r="AV62">
        <v>61</v>
      </c>
      <c r="AW62" t="s">
        <v>577</v>
      </c>
      <c r="AZ62">
        <v>61</v>
      </c>
      <c r="BA62" t="s">
        <v>578</v>
      </c>
      <c r="BB62" t="s">
        <v>577</v>
      </c>
      <c r="BC62" t="str">
        <f t="shared" si="5"/>
        <v>HEADTAIL</v>
      </c>
      <c r="BG62">
        <v>61</v>
      </c>
      <c r="BH62">
        <v>4</v>
      </c>
      <c r="BM62">
        <v>61</v>
      </c>
      <c r="BN62" t="s">
        <v>20</v>
      </c>
      <c r="BO62" t="s">
        <v>595</v>
      </c>
      <c r="BV62">
        <v>61</v>
      </c>
      <c r="BW62" t="s">
        <v>20</v>
      </c>
      <c r="BX62">
        <v>5</v>
      </c>
      <c r="CC62" t="s">
        <v>80</v>
      </c>
      <c r="CD62">
        <v>87</v>
      </c>
      <c r="CX62" t="s">
        <v>686</v>
      </c>
      <c r="CY62" t="s">
        <v>634</v>
      </c>
      <c r="CZ62" t="s">
        <v>672</v>
      </c>
      <c r="DA62" t="s">
        <v>673</v>
      </c>
      <c r="DB62" t="s">
        <v>708</v>
      </c>
      <c r="DC62" t="s">
        <v>709</v>
      </c>
      <c r="DD62" t="s">
        <v>710</v>
      </c>
      <c r="DF62" s="48" t="s">
        <v>705</v>
      </c>
      <c r="DG62" s="48"/>
    </row>
    <row r="63" spans="1:117" ht="15.75" thickBot="1" x14ac:dyDescent="0.3">
      <c r="A63">
        <v>62</v>
      </c>
      <c r="B63" t="s">
        <v>65</v>
      </c>
      <c r="C63" t="s">
        <v>66</v>
      </c>
      <c r="D63" t="s">
        <v>36</v>
      </c>
      <c r="E63" t="s">
        <v>49</v>
      </c>
      <c r="F63" t="s">
        <v>38</v>
      </c>
      <c r="G63" t="s">
        <v>135</v>
      </c>
      <c r="H63">
        <v>2024</v>
      </c>
      <c r="I63">
        <v>12</v>
      </c>
      <c r="J63" t="s">
        <v>51</v>
      </c>
      <c r="K63" t="s">
        <v>52</v>
      </c>
      <c r="L63" t="s">
        <v>26</v>
      </c>
      <c r="M63">
        <v>0</v>
      </c>
      <c r="N63">
        <v>8</v>
      </c>
      <c r="O63">
        <v>1</v>
      </c>
      <c r="P63">
        <v>3</v>
      </c>
      <c r="Q63">
        <v>83</v>
      </c>
      <c r="R63">
        <v>6</v>
      </c>
      <c r="AL63">
        <v>62</v>
      </c>
      <c r="AM63" t="s">
        <v>528</v>
      </c>
      <c r="AN63" t="s">
        <v>466</v>
      </c>
      <c r="AO63">
        <v>0.38517198576800205</v>
      </c>
      <c r="AP63" t="str">
        <f t="shared" si="2"/>
        <v>selected</v>
      </c>
      <c r="AQ63" t="str">
        <f t="shared" si="3"/>
        <v>F</v>
      </c>
      <c r="AV63">
        <v>62</v>
      </c>
      <c r="AW63" t="s">
        <v>577</v>
      </c>
      <c r="AZ63">
        <v>62</v>
      </c>
      <c r="BA63" t="s">
        <v>577</v>
      </c>
      <c r="BB63" t="s">
        <v>577</v>
      </c>
      <c r="BC63" t="str">
        <f t="shared" si="5"/>
        <v>TAILTAIL</v>
      </c>
      <c r="BG63">
        <v>62</v>
      </c>
      <c r="BH63">
        <v>2</v>
      </c>
      <c r="BM63">
        <v>62</v>
      </c>
      <c r="BN63" t="s">
        <v>20</v>
      </c>
      <c r="BO63" t="s">
        <v>595</v>
      </c>
      <c r="BV63">
        <v>62</v>
      </c>
      <c r="BW63" t="s">
        <v>20</v>
      </c>
      <c r="BX63">
        <v>3</v>
      </c>
      <c r="CC63" t="s">
        <v>66</v>
      </c>
      <c r="CD63">
        <v>63</v>
      </c>
      <c r="CT63" s="34" t="s">
        <v>634</v>
      </c>
      <c r="CU63" s="34" t="s">
        <v>683</v>
      </c>
      <c r="CV63" s="34" t="s">
        <v>684</v>
      </c>
      <c r="CX63" s="34" t="s">
        <v>687</v>
      </c>
      <c r="CY63" s="34" t="s">
        <v>688</v>
      </c>
      <c r="CZ63" s="34" t="s">
        <v>689</v>
      </c>
      <c r="DA63" s="34" t="s">
        <v>690</v>
      </c>
      <c r="DB63" s="34" t="s">
        <v>661</v>
      </c>
    </row>
    <row r="64" spans="1:117" x14ac:dyDescent="0.25">
      <c r="A64">
        <v>63</v>
      </c>
      <c r="B64" t="s">
        <v>34</v>
      </c>
      <c r="C64" t="s">
        <v>35</v>
      </c>
      <c r="D64" t="s">
        <v>36</v>
      </c>
      <c r="E64" t="s">
        <v>37</v>
      </c>
      <c r="F64" t="s">
        <v>38</v>
      </c>
      <c r="G64" t="s">
        <v>136</v>
      </c>
      <c r="H64">
        <v>2024</v>
      </c>
      <c r="I64">
        <v>12</v>
      </c>
      <c r="J64" t="s">
        <v>51</v>
      </c>
      <c r="K64" t="s">
        <v>52</v>
      </c>
      <c r="L64" t="s">
        <v>45</v>
      </c>
      <c r="M64">
        <v>1</v>
      </c>
      <c r="N64">
        <v>8</v>
      </c>
      <c r="O64">
        <v>1</v>
      </c>
      <c r="P64">
        <v>3</v>
      </c>
      <c r="Q64">
        <v>73</v>
      </c>
      <c r="R64">
        <v>7</v>
      </c>
      <c r="AL64">
        <v>63</v>
      </c>
      <c r="AM64" t="s">
        <v>529</v>
      </c>
      <c r="AN64" t="s">
        <v>466</v>
      </c>
      <c r="AO64">
        <v>0.38435192121262085</v>
      </c>
      <c r="AP64" t="str">
        <f t="shared" si="2"/>
        <v/>
      </c>
      <c r="AQ64" t="str">
        <f t="shared" si="3"/>
        <v>F</v>
      </c>
      <c r="AV64">
        <v>63</v>
      </c>
      <c r="AW64" t="s">
        <v>577</v>
      </c>
      <c r="AZ64">
        <v>63</v>
      </c>
      <c r="BA64" t="s">
        <v>578</v>
      </c>
      <c r="BB64" t="s">
        <v>578</v>
      </c>
      <c r="BC64" t="str">
        <f t="shared" si="5"/>
        <v>HEADHEAD</v>
      </c>
      <c r="BG64">
        <v>63</v>
      </c>
      <c r="BH64">
        <v>3</v>
      </c>
      <c r="BM64">
        <v>63</v>
      </c>
      <c r="BN64" t="s">
        <v>36</v>
      </c>
      <c r="BO64" t="s">
        <v>595</v>
      </c>
      <c r="BV64">
        <v>63</v>
      </c>
      <c r="BW64" t="s">
        <v>36</v>
      </c>
      <c r="BX64">
        <v>2</v>
      </c>
      <c r="CC64" t="s">
        <v>35</v>
      </c>
      <c r="CD64">
        <v>77</v>
      </c>
      <c r="CT64" t="s">
        <v>660</v>
      </c>
      <c r="CU64">
        <v>29.90909090909091</v>
      </c>
      <c r="CV64">
        <v>27.363636363636363</v>
      </c>
      <c r="CX64" t="s">
        <v>656</v>
      </c>
      <c r="CY64">
        <v>11</v>
      </c>
      <c r="CZ64">
        <v>329</v>
      </c>
      <c r="DA64">
        <v>29.90909090909091</v>
      </c>
      <c r="DB64">
        <v>10.690909090909008</v>
      </c>
      <c r="DF64" s="34" t="s">
        <v>686</v>
      </c>
      <c r="DG64" s="34" t="s">
        <v>688</v>
      </c>
      <c r="DH64" s="34" t="s">
        <v>689</v>
      </c>
      <c r="DI64" s="34" t="s">
        <v>690</v>
      </c>
      <c r="DJ64" s="34" t="s">
        <v>661</v>
      </c>
      <c r="DK64" t="s">
        <v>634</v>
      </c>
      <c r="DL64" t="s">
        <v>672</v>
      </c>
    </row>
    <row r="65" spans="1:114" ht="15.75" thickBot="1" x14ac:dyDescent="0.3">
      <c r="A65">
        <v>64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121</v>
      </c>
      <c r="H65">
        <v>2025</v>
      </c>
      <c r="I65">
        <v>5</v>
      </c>
      <c r="J65" t="s">
        <v>47</v>
      </c>
      <c r="K65" t="s">
        <v>48</v>
      </c>
      <c r="L65" t="s">
        <v>85</v>
      </c>
      <c r="M65">
        <v>0</v>
      </c>
      <c r="N65">
        <v>8</v>
      </c>
      <c r="O65">
        <v>0</v>
      </c>
      <c r="P65">
        <v>0</v>
      </c>
      <c r="Q65">
        <v>0</v>
      </c>
      <c r="R65">
        <v>0</v>
      </c>
      <c r="AL65">
        <v>64</v>
      </c>
      <c r="AM65" t="s">
        <v>530</v>
      </c>
      <c r="AN65" t="s">
        <v>466</v>
      </c>
      <c r="AO65">
        <v>0.38088238847750788</v>
      </c>
      <c r="AP65" t="str">
        <f t="shared" si="2"/>
        <v/>
      </c>
      <c r="AQ65" t="str">
        <f t="shared" si="3"/>
        <v>F</v>
      </c>
      <c r="AV65">
        <v>64</v>
      </c>
      <c r="AW65" t="s">
        <v>577</v>
      </c>
      <c r="AZ65">
        <v>64</v>
      </c>
      <c r="BA65" t="s">
        <v>577</v>
      </c>
      <c r="BB65" t="s">
        <v>578</v>
      </c>
      <c r="BC65" t="str">
        <f t="shared" si="5"/>
        <v>TAILHEAD</v>
      </c>
      <c r="BG65">
        <v>64</v>
      </c>
      <c r="BH65">
        <v>4</v>
      </c>
      <c r="BM65">
        <v>64</v>
      </c>
      <c r="BN65" t="s">
        <v>36</v>
      </c>
      <c r="BO65" t="s">
        <v>595</v>
      </c>
      <c r="BV65">
        <v>64</v>
      </c>
      <c r="BW65" t="s">
        <v>36</v>
      </c>
      <c r="BX65">
        <v>3</v>
      </c>
      <c r="CC65" t="s">
        <v>35</v>
      </c>
      <c r="CD65">
        <v>73</v>
      </c>
      <c r="CT65" t="s">
        <v>677</v>
      </c>
      <c r="CU65">
        <v>10.69090909</v>
      </c>
      <c r="CV65">
        <v>9.8545454550000002</v>
      </c>
      <c r="CX65" s="33" t="s">
        <v>657</v>
      </c>
      <c r="CY65" s="33">
        <v>11</v>
      </c>
      <c r="CZ65" s="33">
        <v>301</v>
      </c>
      <c r="DA65" s="33">
        <v>27.363636363636363</v>
      </c>
      <c r="DB65" s="33">
        <v>9.8545454545454056</v>
      </c>
      <c r="DF65">
        <v>32</v>
      </c>
      <c r="DG65">
        <v>2</v>
      </c>
      <c r="DH65">
        <v>26</v>
      </c>
      <c r="DI65">
        <v>13</v>
      </c>
      <c r="DJ65">
        <v>338</v>
      </c>
    </row>
    <row r="66" spans="1:114" x14ac:dyDescent="0.25">
      <c r="A66">
        <v>65</v>
      </c>
      <c r="B66" t="s">
        <v>62</v>
      </c>
      <c r="C66" t="s">
        <v>63</v>
      </c>
      <c r="D66" t="s">
        <v>20</v>
      </c>
      <c r="E66" t="s">
        <v>29</v>
      </c>
      <c r="F66" t="s">
        <v>38</v>
      </c>
      <c r="G66" t="s">
        <v>137</v>
      </c>
      <c r="H66">
        <v>2024</v>
      </c>
      <c r="I66">
        <v>5</v>
      </c>
      <c r="J66" t="s">
        <v>47</v>
      </c>
      <c r="K66" t="s">
        <v>48</v>
      </c>
      <c r="L66" t="s">
        <v>85</v>
      </c>
      <c r="M66">
        <v>0</v>
      </c>
      <c r="N66">
        <v>8</v>
      </c>
      <c r="O66">
        <v>1</v>
      </c>
      <c r="P66">
        <v>2</v>
      </c>
      <c r="Q66">
        <v>83</v>
      </c>
      <c r="R66">
        <v>3</v>
      </c>
      <c r="AL66">
        <v>65</v>
      </c>
      <c r="AM66" t="s">
        <v>531</v>
      </c>
      <c r="AN66" t="s">
        <v>466</v>
      </c>
      <c r="AO66">
        <v>0.37705793295287426</v>
      </c>
      <c r="AP66" t="str">
        <f t="shared" si="2"/>
        <v/>
      </c>
      <c r="AQ66" t="str">
        <f t="shared" si="3"/>
        <v>F</v>
      </c>
      <c r="AV66">
        <v>65</v>
      </c>
      <c r="AW66" t="s">
        <v>578</v>
      </c>
      <c r="AZ66">
        <v>65</v>
      </c>
      <c r="BA66" t="s">
        <v>578</v>
      </c>
      <c r="BB66" t="s">
        <v>578</v>
      </c>
      <c r="BC66" t="str">
        <f t="shared" si="5"/>
        <v>HEADHEAD</v>
      </c>
      <c r="BG66">
        <v>65</v>
      </c>
      <c r="BH66">
        <v>3</v>
      </c>
      <c r="BM66">
        <v>65</v>
      </c>
      <c r="BN66" t="s">
        <v>20</v>
      </c>
      <c r="BO66" t="s">
        <v>595</v>
      </c>
      <c r="BV66">
        <v>65</v>
      </c>
      <c r="BW66" t="s">
        <v>20</v>
      </c>
      <c r="BX66">
        <v>2</v>
      </c>
      <c r="CC66" t="s">
        <v>63</v>
      </c>
      <c r="CD66">
        <v>61</v>
      </c>
      <c r="CT66" t="s">
        <v>662</v>
      </c>
      <c r="CU66">
        <v>11</v>
      </c>
      <c r="CV66">
        <v>11</v>
      </c>
      <c r="DF66">
        <v>26</v>
      </c>
      <c r="DG66">
        <v>2</v>
      </c>
      <c r="DH66">
        <v>32</v>
      </c>
      <c r="DI66">
        <v>16</v>
      </c>
      <c r="DJ66">
        <v>512</v>
      </c>
    </row>
    <row r="67" spans="1:114" x14ac:dyDescent="0.25">
      <c r="A67">
        <v>66</v>
      </c>
      <c r="B67" t="s">
        <v>62</v>
      </c>
      <c r="C67" t="s">
        <v>63</v>
      </c>
      <c r="D67" t="s">
        <v>20</v>
      </c>
      <c r="E67" t="s">
        <v>21</v>
      </c>
      <c r="F67" t="s">
        <v>38</v>
      </c>
      <c r="G67" t="s">
        <v>138</v>
      </c>
      <c r="H67">
        <v>2025</v>
      </c>
      <c r="I67">
        <v>4</v>
      </c>
      <c r="J67" t="s">
        <v>89</v>
      </c>
      <c r="K67" t="s">
        <v>48</v>
      </c>
      <c r="L67" t="s">
        <v>26</v>
      </c>
      <c r="M67">
        <v>0</v>
      </c>
      <c r="N67">
        <v>8</v>
      </c>
      <c r="O67">
        <v>0</v>
      </c>
      <c r="P67">
        <v>0</v>
      </c>
      <c r="Q67">
        <v>0</v>
      </c>
      <c r="R67">
        <v>0</v>
      </c>
      <c r="AL67">
        <v>66</v>
      </c>
      <c r="AM67" t="s">
        <v>532</v>
      </c>
      <c r="AN67" t="s">
        <v>466</v>
      </c>
      <c r="AO67">
        <v>0.37343367559662144</v>
      </c>
      <c r="AP67" t="str">
        <f t="shared" ref="AP67:AP99" si="10">IF(MOD(AL67-2,10)=0,"selected","")</f>
        <v/>
      </c>
      <c r="AQ67" t="str">
        <f t="shared" ref="AQ67:AQ99" si="11">IF(AN67="Civil","A",IF(AN67="Computer Science","B",IF(AN67="Data Science","C",IF(AN67="Electonics","D",IF(AN67="Information Technology","E","F")))))</f>
        <v>F</v>
      </c>
      <c r="AV67">
        <v>66</v>
      </c>
      <c r="AW67" t="s">
        <v>577</v>
      </c>
      <c r="AZ67">
        <v>66</v>
      </c>
      <c r="BA67" t="s">
        <v>577</v>
      </c>
      <c r="BB67" t="s">
        <v>578</v>
      </c>
      <c r="BC67" t="str">
        <f t="shared" ref="BC67:BC99" si="12">_xlfn.CONCAT(BA67,BB67)</f>
        <v>TAILHEAD</v>
      </c>
      <c r="BG67">
        <v>66</v>
      </c>
      <c r="BH67">
        <v>1</v>
      </c>
      <c r="BM67">
        <v>66</v>
      </c>
      <c r="BN67" t="s">
        <v>20</v>
      </c>
      <c r="BO67" t="s">
        <v>594</v>
      </c>
      <c r="BV67">
        <v>66</v>
      </c>
      <c r="BW67" t="s">
        <v>20</v>
      </c>
      <c r="BX67">
        <v>5</v>
      </c>
      <c r="CC67" t="s">
        <v>63</v>
      </c>
      <c r="CD67">
        <v>81</v>
      </c>
      <c r="CT67" t="s">
        <v>664</v>
      </c>
      <c r="CU67">
        <v>30</v>
      </c>
      <c r="DF67">
        <v>25</v>
      </c>
      <c r="DG67">
        <v>2</v>
      </c>
      <c r="DH67">
        <v>31</v>
      </c>
      <c r="DI67">
        <v>15.5</v>
      </c>
      <c r="DJ67">
        <v>480.5</v>
      </c>
    </row>
    <row r="68" spans="1:114" ht="15.75" thickBot="1" x14ac:dyDescent="0.3">
      <c r="A68">
        <v>67</v>
      </c>
      <c r="B68" t="s">
        <v>27</v>
      </c>
      <c r="C68" t="s">
        <v>28</v>
      </c>
      <c r="D68" t="s">
        <v>20</v>
      </c>
      <c r="E68" t="s">
        <v>29</v>
      </c>
      <c r="F68" t="s">
        <v>30</v>
      </c>
      <c r="G68" t="s">
        <v>139</v>
      </c>
      <c r="H68">
        <v>2024</v>
      </c>
      <c r="I68">
        <v>3</v>
      </c>
      <c r="J68" t="s">
        <v>40</v>
      </c>
      <c r="K68" t="s">
        <v>41</v>
      </c>
      <c r="L68" t="s">
        <v>53</v>
      </c>
      <c r="M68">
        <v>1</v>
      </c>
      <c r="N68">
        <v>8</v>
      </c>
      <c r="O68">
        <v>1</v>
      </c>
      <c r="P68">
        <v>1</v>
      </c>
      <c r="Q68">
        <v>88</v>
      </c>
      <c r="R68">
        <v>5</v>
      </c>
      <c r="AL68">
        <v>67</v>
      </c>
      <c r="AM68" t="s">
        <v>533</v>
      </c>
      <c r="AN68" t="s">
        <v>466</v>
      </c>
      <c r="AO68">
        <v>0.36849126202332316</v>
      </c>
      <c r="AP68" t="str">
        <f t="shared" si="10"/>
        <v/>
      </c>
      <c r="AQ68" t="str">
        <f t="shared" si="11"/>
        <v>F</v>
      </c>
      <c r="AV68">
        <v>67</v>
      </c>
      <c r="AW68" t="s">
        <v>577</v>
      </c>
      <c r="AZ68">
        <v>67</v>
      </c>
      <c r="BA68" t="s">
        <v>578</v>
      </c>
      <c r="BB68" t="s">
        <v>577</v>
      </c>
      <c r="BC68" t="str">
        <f t="shared" si="12"/>
        <v>HEADTAIL</v>
      </c>
      <c r="BG68">
        <v>67</v>
      </c>
      <c r="BH68">
        <v>6</v>
      </c>
      <c r="BM68">
        <v>67</v>
      </c>
      <c r="BN68" t="s">
        <v>20</v>
      </c>
      <c r="BO68" t="s">
        <v>594</v>
      </c>
      <c r="BV68">
        <v>67</v>
      </c>
      <c r="BW68" t="s">
        <v>20</v>
      </c>
      <c r="BX68">
        <v>1</v>
      </c>
      <c r="CC68" t="s">
        <v>28</v>
      </c>
      <c r="CD68">
        <v>89</v>
      </c>
      <c r="CT68" t="s">
        <v>678</v>
      </c>
      <c r="CU68">
        <v>-20.088741178401946</v>
      </c>
      <c r="CX68" t="s">
        <v>691</v>
      </c>
      <c r="DF68">
        <v>32</v>
      </c>
      <c r="DG68">
        <v>2</v>
      </c>
      <c r="DH68">
        <v>31</v>
      </c>
      <c r="DI68">
        <v>15.5</v>
      </c>
      <c r="DJ68">
        <v>480.5</v>
      </c>
    </row>
    <row r="69" spans="1:114" x14ac:dyDescent="0.25">
      <c r="A69">
        <v>68</v>
      </c>
      <c r="B69" t="s">
        <v>42</v>
      </c>
      <c r="C69" t="s">
        <v>43</v>
      </c>
      <c r="D69" t="s">
        <v>36</v>
      </c>
      <c r="E69" t="s">
        <v>54</v>
      </c>
      <c r="F69" t="s">
        <v>22</v>
      </c>
      <c r="G69" t="s">
        <v>140</v>
      </c>
      <c r="H69">
        <v>2025</v>
      </c>
      <c r="I69">
        <v>8</v>
      </c>
      <c r="J69" t="s">
        <v>107</v>
      </c>
      <c r="K69" t="s">
        <v>25</v>
      </c>
      <c r="L69" t="s">
        <v>85</v>
      </c>
      <c r="M69">
        <v>0</v>
      </c>
      <c r="N69">
        <v>8</v>
      </c>
      <c r="O69">
        <v>0</v>
      </c>
      <c r="P69">
        <v>0</v>
      </c>
      <c r="Q69">
        <v>0</v>
      </c>
      <c r="R69">
        <v>0</v>
      </c>
      <c r="AL69">
        <v>68</v>
      </c>
      <c r="AM69" t="s">
        <v>534</v>
      </c>
      <c r="AN69" t="s">
        <v>472</v>
      </c>
      <c r="AO69">
        <v>0.3629484962763172</v>
      </c>
      <c r="AP69" t="str">
        <f t="shared" si="10"/>
        <v/>
      </c>
      <c r="AQ69" t="str">
        <f t="shared" si="11"/>
        <v>E</v>
      </c>
      <c r="AV69">
        <v>68</v>
      </c>
      <c r="AW69" t="s">
        <v>578</v>
      </c>
      <c r="AZ69">
        <v>68</v>
      </c>
      <c r="BA69" t="s">
        <v>577</v>
      </c>
      <c r="BB69" t="s">
        <v>578</v>
      </c>
      <c r="BC69" t="str">
        <f t="shared" si="12"/>
        <v>TAILHEAD</v>
      </c>
      <c r="BG69">
        <v>68</v>
      </c>
      <c r="BH69">
        <v>4</v>
      </c>
      <c r="BM69">
        <v>68</v>
      </c>
      <c r="BN69" t="s">
        <v>20</v>
      </c>
      <c r="BO69" t="s">
        <v>594</v>
      </c>
      <c r="BV69">
        <v>68</v>
      </c>
      <c r="BW69" t="s">
        <v>20</v>
      </c>
      <c r="BX69">
        <v>5</v>
      </c>
      <c r="CC69" t="s">
        <v>43</v>
      </c>
      <c r="CD69">
        <v>68</v>
      </c>
      <c r="CT69" t="s">
        <v>679</v>
      </c>
      <c r="CU69">
        <v>0</v>
      </c>
      <c r="CX69" s="34" t="s">
        <v>692</v>
      </c>
      <c r="CY69" s="34" t="s">
        <v>693</v>
      </c>
      <c r="CZ69" s="34" t="s">
        <v>665</v>
      </c>
      <c r="DA69" s="34" t="s">
        <v>694</v>
      </c>
      <c r="DB69" s="34" t="s">
        <v>36</v>
      </c>
      <c r="DC69" s="34" t="s">
        <v>695</v>
      </c>
      <c r="DD69" s="34" t="s">
        <v>696</v>
      </c>
      <c r="DF69">
        <v>30</v>
      </c>
      <c r="DG69">
        <v>2</v>
      </c>
      <c r="DH69">
        <v>24</v>
      </c>
      <c r="DI69">
        <v>12</v>
      </c>
      <c r="DJ69">
        <v>288</v>
      </c>
    </row>
    <row r="70" spans="1:114" x14ac:dyDescent="0.25">
      <c r="A70">
        <v>69</v>
      </c>
      <c r="B70" t="s">
        <v>57</v>
      </c>
      <c r="C70" t="s">
        <v>58</v>
      </c>
      <c r="D70" t="s">
        <v>36</v>
      </c>
      <c r="E70" t="s">
        <v>21</v>
      </c>
      <c r="F70" t="s">
        <v>59</v>
      </c>
      <c r="G70" t="s">
        <v>141</v>
      </c>
      <c r="H70">
        <v>2025</v>
      </c>
      <c r="I70">
        <v>7</v>
      </c>
      <c r="J70" t="s">
        <v>32</v>
      </c>
      <c r="K70" t="s">
        <v>25</v>
      </c>
      <c r="L70" t="s">
        <v>61</v>
      </c>
      <c r="M70">
        <v>0</v>
      </c>
      <c r="N70">
        <v>8</v>
      </c>
      <c r="O70">
        <v>0</v>
      </c>
      <c r="P70">
        <v>0</v>
      </c>
      <c r="Q70">
        <v>0</v>
      </c>
      <c r="R70">
        <v>0</v>
      </c>
      <c r="AL70">
        <v>69</v>
      </c>
      <c r="AM70" t="s">
        <v>535</v>
      </c>
      <c r="AN70" t="s">
        <v>472</v>
      </c>
      <c r="AO70">
        <v>0.34139000029898903</v>
      </c>
      <c r="AP70" t="str">
        <f t="shared" si="10"/>
        <v/>
      </c>
      <c r="AQ70" t="str">
        <f t="shared" si="11"/>
        <v>E</v>
      </c>
      <c r="AV70">
        <v>69</v>
      </c>
      <c r="AW70" t="s">
        <v>577</v>
      </c>
      <c r="AZ70">
        <v>69</v>
      </c>
      <c r="BA70" t="s">
        <v>578</v>
      </c>
      <c r="BB70" t="s">
        <v>577</v>
      </c>
      <c r="BC70" t="str">
        <f t="shared" si="12"/>
        <v>HEADTAIL</v>
      </c>
      <c r="BG70">
        <v>69</v>
      </c>
      <c r="BH70">
        <v>5</v>
      </c>
      <c r="BM70">
        <v>69</v>
      </c>
      <c r="BN70" t="s">
        <v>36</v>
      </c>
      <c r="BO70" t="s">
        <v>594</v>
      </c>
      <c r="BV70">
        <v>69</v>
      </c>
      <c r="BW70" t="s">
        <v>36</v>
      </c>
      <c r="BX70">
        <v>1</v>
      </c>
      <c r="CC70" t="s">
        <v>58</v>
      </c>
      <c r="CD70">
        <v>75</v>
      </c>
      <c r="CT70" t="s">
        <v>680</v>
      </c>
      <c r="CU70">
        <v>1.6448536269514715</v>
      </c>
      <c r="CX70" t="s">
        <v>697</v>
      </c>
      <c r="CY70">
        <v>35.636363636363626</v>
      </c>
      <c r="CZ70">
        <v>1</v>
      </c>
      <c r="DA70">
        <v>35.636363636363626</v>
      </c>
      <c r="DB70">
        <v>3.4690265486725651</v>
      </c>
      <c r="DC70">
        <v>7.7284671840824895E-2</v>
      </c>
      <c r="DD70">
        <v>4.3512435033292896</v>
      </c>
      <c r="DF70">
        <v>28</v>
      </c>
      <c r="DG70">
        <v>2</v>
      </c>
      <c r="DH70">
        <v>26</v>
      </c>
      <c r="DI70">
        <v>13</v>
      </c>
      <c r="DJ70">
        <v>338</v>
      </c>
    </row>
    <row r="71" spans="1:114" x14ac:dyDescent="0.25">
      <c r="A71">
        <v>70</v>
      </c>
      <c r="B71" t="s">
        <v>69</v>
      </c>
      <c r="C71" t="s">
        <v>70</v>
      </c>
      <c r="D71" t="s">
        <v>36</v>
      </c>
      <c r="E71" t="s">
        <v>29</v>
      </c>
      <c r="F71" t="s">
        <v>71</v>
      </c>
      <c r="G71" t="s">
        <v>142</v>
      </c>
      <c r="H71">
        <v>2025</v>
      </c>
      <c r="I71">
        <v>5</v>
      </c>
      <c r="J71" t="s">
        <v>47</v>
      </c>
      <c r="K71" t="s">
        <v>48</v>
      </c>
      <c r="L71" t="s">
        <v>33</v>
      </c>
      <c r="M71">
        <v>0</v>
      </c>
      <c r="N71">
        <v>8</v>
      </c>
      <c r="O71">
        <v>0</v>
      </c>
      <c r="P71">
        <v>0</v>
      </c>
      <c r="Q71">
        <v>0</v>
      </c>
      <c r="R71">
        <v>0</v>
      </c>
      <c r="AL71">
        <v>70</v>
      </c>
      <c r="AM71" t="s">
        <v>536</v>
      </c>
      <c r="AN71" t="s">
        <v>472</v>
      </c>
      <c r="AO71">
        <v>0.32172336985761263</v>
      </c>
      <c r="AP71" t="str">
        <f t="shared" si="10"/>
        <v/>
      </c>
      <c r="AQ71" t="str">
        <f t="shared" si="11"/>
        <v>E</v>
      </c>
      <c r="AV71">
        <v>70</v>
      </c>
      <c r="AW71" t="s">
        <v>577</v>
      </c>
      <c r="AZ71">
        <v>70</v>
      </c>
      <c r="BA71" t="s">
        <v>577</v>
      </c>
      <c r="BB71" t="s">
        <v>577</v>
      </c>
      <c r="BC71" t="str">
        <f t="shared" si="12"/>
        <v>TAILTAIL</v>
      </c>
      <c r="BG71">
        <v>70</v>
      </c>
      <c r="BH71">
        <v>2</v>
      </c>
      <c r="BM71">
        <v>70</v>
      </c>
      <c r="BN71" t="s">
        <v>20</v>
      </c>
      <c r="BO71" t="s">
        <v>595</v>
      </c>
      <c r="BV71">
        <v>70</v>
      </c>
      <c r="BW71" t="s">
        <v>20</v>
      </c>
      <c r="BX71">
        <v>6</v>
      </c>
      <c r="CC71" t="s">
        <v>70</v>
      </c>
      <c r="CD71">
        <v>93</v>
      </c>
      <c r="CT71" t="s">
        <v>681</v>
      </c>
      <c r="CU71">
        <v>0</v>
      </c>
      <c r="CX71" t="s">
        <v>698</v>
      </c>
      <c r="CY71">
        <v>205.45454545454547</v>
      </c>
      <c r="CZ71">
        <v>20</v>
      </c>
      <c r="DA71">
        <v>10.272727272727273</v>
      </c>
      <c r="DF71">
        <v>28</v>
      </c>
      <c r="DG71">
        <v>2</v>
      </c>
      <c r="DH71">
        <v>30</v>
      </c>
      <c r="DI71">
        <v>15</v>
      </c>
      <c r="DJ71">
        <v>450</v>
      </c>
    </row>
    <row r="72" spans="1:114" x14ac:dyDescent="0.25">
      <c r="A72">
        <v>71</v>
      </c>
      <c r="B72" t="s">
        <v>62</v>
      </c>
      <c r="C72" t="s">
        <v>63</v>
      </c>
      <c r="D72" t="s">
        <v>20</v>
      </c>
      <c r="E72" t="s">
        <v>49</v>
      </c>
      <c r="F72" t="s">
        <v>38</v>
      </c>
      <c r="G72" t="s">
        <v>143</v>
      </c>
      <c r="H72">
        <v>2025</v>
      </c>
      <c r="I72">
        <v>8</v>
      </c>
      <c r="J72" t="s">
        <v>107</v>
      </c>
      <c r="K72" t="s">
        <v>25</v>
      </c>
      <c r="L72" t="s">
        <v>61</v>
      </c>
      <c r="M72">
        <v>0</v>
      </c>
      <c r="N72">
        <v>8</v>
      </c>
      <c r="O72">
        <v>1</v>
      </c>
      <c r="P72">
        <v>2</v>
      </c>
      <c r="Q72">
        <v>69</v>
      </c>
      <c r="R72">
        <v>7</v>
      </c>
      <c r="AL72">
        <v>71</v>
      </c>
      <c r="AM72" t="s">
        <v>537</v>
      </c>
      <c r="AN72" t="s">
        <v>472</v>
      </c>
      <c r="AO72">
        <v>0.31891545613565275</v>
      </c>
      <c r="AP72" t="str">
        <f t="shared" si="10"/>
        <v/>
      </c>
      <c r="AQ72" t="str">
        <f t="shared" si="11"/>
        <v>E</v>
      </c>
      <c r="AV72">
        <v>71</v>
      </c>
      <c r="AW72" t="s">
        <v>578</v>
      </c>
      <c r="AZ72">
        <v>71</v>
      </c>
      <c r="BA72" t="s">
        <v>577</v>
      </c>
      <c r="BB72" t="s">
        <v>578</v>
      </c>
      <c r="BC72" t="str">
        <f t="shared" si="12"/>
        <v>TAILHEAD</v>
      </c>
      <c r="BG72">
        <v>71</v>
      </c>
      <c r="BH72">
        <v>4</v>
      </c>
      <c r="BM72">
        <v>71</v>
      </c>
      <c r="BN72" t="s">
        <v>36</v>
      </c>
      <c r="BO72" t="s">
        <v>595</v>
      </c>
      <c r="BV72">
        <v>71</v>
      </c>
      <c r="BW72" t="s">
        <v>36</v>
      </c>
      <c r="BX72">
        <v>5</v>
      </c>
      <c r="CC72" t="s">
        <v>63</v>
      </c>
      <c r="CD72">
        <v>73</v>
      </c>
      <c r="CT72" t="s">
        <v>682</v>
      </c>
      <c r="CU72">
        <v>1.9599639845400536</v>
      </c>
      <c r="DF72">
        <v>33</v>
      </c>
      <c r="DG72">
        <v>2</v>
      </c>
      <c r="DH72">
        <v>24</v>
      </c>
      <c r="DI72">
        <v>12</v>
      </c>
      <c r="DJ72">
        <v>288</v>
      </c>
    </row>
    <row r="73" spans="1:114" x14ac:dyDescent="0.25">
      <c r="A73">
        <v>74</v>
      </c>
      <c r="B73" t="s">
        <v>27</v>
      </c>
      <c r="C73" t="s">
        <v>28</v>
      </c>
      <c r="D73" t="s">
        <v>20</v>
      </c>
      <c r="E73" t="s">
        <v>21</v>
      </c>
      <c r="F73" t="s">
        <v>30</v>
      </c>
      <c r="G73" t="s">
        <v>144</v>
      </c>
      <c r="H73">
        <v>2025</v>
      </c>
      <c r="I73">
        <v>6</v>
      </c>
      <c r="J73" t="s">
        <v>76</v>
      </c>
      <c r="K73" t="s">
        <v>48</v>
      </c>
      <c r="L73" t="s">
        <v>26</v>
      </c>
      <c r="M73">
        <v>0</v>
      </c>
      <c r="N73">
        <v>8</v>
      </c>
      <c r="O73">
        <v>1</v>
      </c>
      <c r="P73">
        <v>3</v>
      </c>
      <c r="Q73">
        <v>66</v>
      </c>
      <c r="R73">
        <v>5</v>
      </c>
      <c r="AL73">
        <v>74</v>
      </c>
      <c r="AM73" t="s">
        <v>540</v>
      </c>
      <c r="AN73" t="s">
        <v>472</v>
      </c>
      <c r="AO73">
        <v>0.2949540285153327</v>
      </c>
      <c r="AP73" t="str">
        <f t="shared" si="10"/>
        <v/>
      </c>
      <c r="AQ73" t="str">
        <f t="shared" si="11"/>
        <v>E</v>
      </c>
      <c r="AV73">
        <v>72</v>
      </c>
      <c r="AW73" t="s">
        <v>578</v>
      </c>
      <c r="AZ73">
        <v>72</v>
      </c>
      <c r="BA73" t="s">
        <v>577</v>
      </c>
      <c r="BB73" t="s">
        <v>578</v>
      </c>
      <c r="BC73" t="str">
        <f t="shared" si="12"/>
        <v>TAILHEAD</v>
      </c>
      <c r="BG73">
        <v>72</v>
      </c>
      <c r="BH73">
        <v>5</v>
      </c>
      <c r="BM73">
        <v>72</v>
      </c>
      <c r="BN73" t="s">
        <v>20</v>
      </c>
      <c r="BO73" t="s">
        <v>595</v>
      </c>
      <c r="BV73">
        <v>72</v>
      </c>
      <c r="BW73" t="s">
        <v>20</v>
      </c>
      <c r="BX73">
        <v>6</v>
      </c>
      <c r="CC73" t="s">
        <v>28</v>
      </c>
      <c r="CD73">
        <v>90</v>
      </c>
      <c r="CX73" t="s">
        <v>699</v>
      </c>
      <c r="CY73">
        <v>241.09090909090909</v>
      </c>
      <c r="CZ73">
        <v>21</v>
      </c>
      <c r="DF73">
        <v>27</v>
      </c>
      <c r="DG73">
        <v>2</v>
      </c>
      <c r="DH73">
        <v>28</v>
      </c>
      <c r="DI73">
        <v>14</v>
      </c>
      <c r="DJ73">
        <v>392</v>
      </c>
    </row>
    <row r="74" spans="1:114" x14ac:dyDescent="0.25">
      <c r="A74">
        <v>75</v>
      </c>
      <c r="B74" t="s">
        <v>65</v>
      </c>
      <c r="C74" t="s">
        <v>66</v>
      </c>
      <c r="D74" t="s">
        <v>36</v>
      </c>
      <c r="E74" t="s">
        <v>29</v>
      </c>
      <c r="F74" t="s">
        <v>38</v>
      </c>
      <c r="G74" t="s">
        <v>145</v>
      </c>
      <c r="H74">
        <v>2025</v>
      </c>
      <c r="I74">
        <v>8</v>
      </c>
      <c r="J74" t="s">
        <v>107</v>
      </c>
      <c r="K74" t="s">
        <v>25</v>
      </c>
      <c r="L74" t="s">
        <v>26</v>
      </c>
      <c r="M74">
        <v>0</v>
      </c>
      <c r="N74">
        <v>8</v>
      </c>
      <c r="O74">
        <v>1</v>
      </c>
      <c r="P74">
        <v>2</v>
      </c>
      <c r="Q74">
        <v>63</v>
      </c>
      <c r="R74">
        <v>1</v>
      </c>
      <c r="AL74">
        <v>75</v>
      </c>
      <c r="AM74" t="s">
        <v>541</v>
      </c>
      <c r="AN74" t="s">
        <v>472</v>
      </c>
      <c r="AO74">
        <v>0.28747477512557063</v>
      </c>
      <c r="AP74" t="str">
        <f t="shared" si="10"/>
        <v/>
      </c>
      <c r="AQ74" t="str">
        <f t="shared" si="11"/>
        <v>E</v>
      </c>
      <c r="AV74">
        <v>73</v>
      </c>
      <c r="AW74" t="s">
        <v>578</v>
      </c>
      <c r="AZ74">
        <v>73</v>
      </c>
      <c r="BA74" t="s">
        <v>578</v>
      </c>
      <c r="BB74" t="s">
        <v>577</v>
      </c>
      <c r="BC74" t="str">
        <f t="shared" si="12"/>
        <v>HEADTAIL</v>
      </c>
      <c r="BG74">
        <v>73</v>
      </c>
      <c r="BH74">
        <v>6</v>
      </c>
      <c r="BM74">
        <v>73</v>
      </c>
      <c r="BN74" t="s">
        <v>20</v>
      </c>
      <c r="BO74" t="s">
        <v>595</v>
      </c>
      <c r="BV74">
        <v>73</v>
      </c>
      <c r="BW74" t="s">
        <v>20</v>
      </c>
      <c r="BX74">
        <v>6</v>
      </c>
      <c r="CC74" t="s">
        <v>66</v>
      </c>
      <c r="CD74">
        <v>73</v>
      </c>
      <c r="DF74">
        <v>34</v>
      </c>
      <c r="DG74">
        <v>2</v>
      </c>
      <c r="DH74">
        <v>25</v>
      </c>
      <c r="DI74">
        <v>12.5</v>
      </c>
      <c r="DJ74">
        <v>312.5</v>
      </c>
    </row>
    <row r="75" spans="1:114" x14ac:dyDescent="0.25">
      <c r="A75">
        <v>76</v>
      </c>
      <c r="B75" t="s">
        <v>62</v>
      </c>
      <c r="C75" t="s">
        <v>63</v>
      </c>
      <c r="D75" t="s">
        <v>20</v>
      </c>
      <c r="E75" t="s">
        <v>29</v>
      </c>
      <c r="F75" t="s">
        <v>38</v>
      </c>
      <c r="G75" t="s">
        <v>146</v>
      </c>
      <c r="H75">
        <v>2025</v>
      </c>
      <c r="I75">
        <v>5</v>
      </c>
      <c r="J75" t="s">
        <v>47</v>
      </c>
      <c r="K75" t="s">
        <v>48</v>
      </c>
      <c r="L75" t="s">
        <v>77</v>
      </c>
      <c r="M75">
        <v>0</v>
      </c>
      <c r="N75">
        <v>8</v>
      </c>
      <c r="O75">
        <v>0</v>
      </c>
      <c r="P75">
        <v>0</v>
      </c>
      <c r="Q75">
        <v>0</v>
      </c>
      <c r="R75">
        <v>0</v>
      </c>
      <c r="AL75">
        <v>76</v>
      </c>
      <c r="AM75" t="s">
        <v>542</v>
      </c>
      <c r="AN75" t="s">
        <v>472</v>
      </c>
      <c r="AO75">
        <v>0.28650498972118144</v>
      </c>
      <c r="AP75" t="str">
        <f t="shared" si="10"/>
        <v/>
      </c>
      <c r="AQ75" t="str">
        <f t="shared" si="11"/>
        <v>E</v>
      </c>
      <c r="AV75">
        <v>74</v>
      </c>
      <c r="AW75" t="s">
        <v>578</v>
      </c>
      <c r="AZ75">
        <v>74</v>
      </c>
      <c r="BA75" t="s">
        <v>577</v>
      </c>
      <c r="BB75" t="s">
        <v>578</v>
      </c>
      <c r="BC75" t="str">
        <f t="shared" si="12"/>
        <v>TAILHEAD</v>
      </c>
      <c r="BG75">
        <v>74</v>
      </c>
      <c r="BH75">
        <v>3</v>
      </c>
      <c r="BM75">
        <v>74</v>
      </c>
      <c r="BN75" t="s">
        <v>20</v>
      </c>
      <c r="BO75" t="s">
        <v>595</v>
      </c>
      <c r="BV75">
        <v>74</v>
      </c>
      <c r="BW75" t="s">
        <v>20</v>
      </c>
      <c r="BX75">
        <v>1</v>
      </c>
      <c r="CC75" t="s">
        <v>63</v>
      </c>
      <c r="CD75">
        <v>64</v>
      </c>
      <c r="DF75">
        <v>34</v>
      </c>
      <c r="DG75">
        <v>2</v>
      </c>
      <c r="DH75">
        <v>24</v>
      </c>
      <c r="DI75">
        <v>12</v>
      </c>
      <c r="DJ75">
        <v>288</v>
      </c>
    </row>
    <row r="76" spans="1:114" x14ac:dyDescent="0.25">
      <c r="A76">
        <v>77</v>
      </c>
      <c r="B76" t="s">
        <v>57</v>
      </c>
      <c r="C76" t="s">
        <v>58</v>
      </c>
      <c r="D76" t="s">
        <v>36</v>
      </c>
      <c r="E76" t="s">
        <v>29</v>
      </c>
      <c r="F76" t="s">
        <v>59</v>
      </c>
      <c r="G76" t="s">
        <v>147</v>
      </c>
      <c r="H76">
        <v>2025</v>
      </c>
      <c r="I76">
        <v>12</v>
      </c>
      <c r="J76" t="s">
        <v>51</v>
      </c>
      <c r="K76" t="s">
        <v>52</v>
      </c>
      <c r="L76" t="s">
        <v>33</v>
      </c>
      <c r="M76">
        <v>0</v>
      </c>
      <c r="N76">
        <v>8</v>
      </c>
      <c r="O76">
        <v>1</v>
      </c>
      <c r="P76">
        <v>3</v>
      </c>
      <c r="Q76">
        <v>72</v>
      </c>
      <c r="R76">
        <v>8</v>
      </c>
      <c r="AL76">
        <v>77</v>
      </c>
      <c r="AM76" t="s">
        <v>543</v>
      </c>
      <c r="AN76" t="s">
        <v>472</v>
      </c>
      <c r="AO76">
        <v>0.2642475867834988</v>
      </c>
      <c r="AP76" t="str">
        <f t="shared" si="10"/>
        <v/>
      </c>
      <c r="AQ76" t="str">
        <f t="shared" si="11"/>
        <v>E</v>
      </c>
      <c r="AV76">
        <v>75</v>
      </c>
      <c r="AW76" t="s">
        <v>578</v>
      </c>
      <c r="AZ76">
        <v>75</v>
      </c>
      <c r="BA76" t="s">
        <v>577</v>
      </c>
      <c r="BB76" t="s">
        <v>577</v>
      </c>
      <c r="BC76" t="str">
        <f t="shared" si="12"/>
        <v>TAILTAIL</v>
      </c>
      <c r="BG76">
        <v>75</v>
      </c>
      <c r="BH76">
        <v>6</v>
      </c>
      <c r="BM76">
        <v>75</v>
      </c>
      <c r="BN76" t="s">
        <v>20</v>
      </c>
      <c r="BO76" t="s">
        <v>595</v>
      </c>
      <c r="BV76">
        <v>75</v>
      </c>
      <c r="BW76" t="s">
        <v>20</v>
      </c>
      <c r="BX76">
        <v>2</v>
      </c>
      <c r="CC76" t="s">
        <v>58</v>
      </c>
      <c r="CD76">
        <v>79</v>
      </c>
    </row>
    <row r="77" spans="1:114" x14ac:dyDescent="0.25">
      <c r="A77">
        <v>78</v>
      </c>
      <c r="B77" t="s">
        <v>79</v>
      </c>
      <c r="C77" t="s">
        <v>80</v>
      </c>
      <c r="D77" t="s">
        <v>20</v>
      </c>
      <c r="E77" t="s">
        <v>37</v>
      </c>
      <c r="F77" t="s">
        <v>81</v>
      </c>
      <c r="G77" t="s">
        <v>148</v>
      </c>
      <c r="H77">
        <v>2025</v>
      </c>
      <c r="I77">
        <v>5</v>
      </c>
      <c r="J77" t="s">
        <v>47</v>
      </c>
      <c r="K77" t="s">
        <v>48</v>
      </c>
      <c r="L77" t="s">
        <v>53</v>
      </c>
      <c r="M77">
        <v>1</v>
      </c>
      <c r="N77">
        <v>8</v>
      </c>
      <c r="O77">
        <v>0</v>
      </c>
      <c r="P77">
        <v>0</v>
      </c>
      <c r="Q77">
        <v>0</v>
      </c>
      <c r="R77">
        <v>0</v>
      </c>
      <c r="AL77">
        <v>78</v>
      </c>
      <c r="AM77" t="s">
        <v>544</v>
      </c>
      <c r="AN77" t="s">
        <v>472</v>
      </c>
      <c r="AO77">
        <v>0.25311667522907166</v>
      </c>
      <c r="AP77" t="str">
        <f t="shared" si="10"/>
        <v/>
      </c>
      <c r="AQ77" t="str">
        <f t="shared" si="11"/>
        <v>E</v>
      </c>
      <c r="AV77">
        <v>76</v>
      </c>
      <c r="AW77" t="s">
        <v>578</v>
      </c>
      <c r="AZ77">
        <v>76</v>
      </c>
      <c r="BA77" t="s">
        <v>578</v>
      </c>
      <c r="BB77" t="s">
        <v>577</v>
      </c>
      <c r="BC77" t="str">
        <f t="shared" si="12"/>
        <v>HEADTAIL</v>
      </c>
      <c r="BG77">
        <v>76</v>
      </c>
      <c r="BH77">
        <v>1</v>
      </c>
      <c r="BM77">
        <v>76</v>
      </c>
      <c r="BN77" t="s">
        <v>20</v>
      </c>
      <c r="BO77" t="s">
        <v>595</v>
      </c>
      <c r="BV77">
        <v>76</v>
      </c>
      <c r="BW77" t="s">
        <v>20</v>
      </c>
      <c r="BX77">
        <v>4</v>
      </c>
      <c r="CC77" t="s">
        <v>80</v>
      </c>
      <c r="CD77">
        <v>68</v>
      </c>
      <c r="DF77" t="s">
        <v>657</v>
      </c>
      <c r="DG77">
        <v>11</v>
      </c>
      <c r="DH77">
        <v>301</v>
      </c>
      <c r="DI77">
        <v>27.363636363636363</v>
      </c>
      <c r="DJ77">
        <v>9.8545454545454056</v>
      </c>
    </row>
    <row r="78" spans="1:114" ht="15.75" thickBot="1" x14ac:dyDescent="0.3">
      <c r="A78">
        <v>79</v>
      </c>
      <c r="B78" t="s">
        <v>62</v>
      </c>
      <c r="C78" t="s">
        <v>63</v>
      </c>
      <c r="D78" t="s">
        <v>20</v>
      </c>
      <c r="E78" t="s">
        <v>49</v>
      </c>
      <c r="F78" t="s">
        <v>38</v>
      </c>
      <c r="G78" t="s">
        <v>149</v>
      </c>
      <c r="H78">
        <v>2024</v>
      </c>
      <c r="I78">
        <v>3</v>
      </c>
      <c r="J78" t="s">
        <v>40</v>
      </c>
      <c r="K78" t="s">
        <v>41</v>
      </c>
      <c r="L78" t="s">
        <v>33</v>
      </c>
      <c r="M78">
        <v>0</v>
      </c>
      <c r="N78">
        <v>8</v>
      </c>
      <c r="O78">
        <v>1</v>
      </c>
      <c r="P78">
        <v>1</v>
      </c>
      <c r="Q78">
        <v>74</v>
      </c>
      <c r="R78">
        <v>4</v>
      </c>
      <c r="AL78">
        <v>79</v>
      </c>
      <c r="AM78" t="s">
        <v>545</v>
      </c>
      <c r="AN78" t="s">
        <v>472</v>
      </c>
      <c r="AO78">
        <v>0.24532909213423026</v>
      </c>
      <c r="AP78" t="str">
        <f t="shared" si="10"/>
        <v/>
      </c>
      <c r="AQ78" t="str">
        <f t="shared" si="11"/>
        <v>E</v>
      </c>
      <c r="AV78">
        <v>77</v>
      </c>
      <c r="AW78" t="s">
        <v>578</v>
      </c>
      <c r="AZ78">
        <v>77</v>
      </c>
      <c r="BA78" t="s">
        <v>578</v>
      </c>
      <c r="BB78" t="s">
        <v>577</v>
      </c>
      <c r="BC78" t="str">
        <f t="shared" si="12"/>
        <v>HEADTAIL</v>
      </c>
      <c r="BG78">
        <v>77</v>
      </c>
      <c r="BH78">
        <v>2</v>
      </c>
      <c r="BM78">
        <v>77</v>
      </c>
      <c r="BN78" t="s">
        <v>20</v>
      </c>
      <c r="BO78" t="s">
        <v>594</v>
      </c>
      <c r="BV78">
        <v>77</v>
      </c>
      <c r="BW78" t="s">
        <v>20</v>
      </c>
      <c r="BX78">
        <v>2</v>
      </c>
      <c r="CC78" t="s">
        <v>63</v>
      </c>
      <c r="CD78">
        <v>71</v>
      </c>
      <c r="DF78" s="33" t="s">
        <v>658</v>
      </c>
      <c r="DG78" s="33">
        <v>11</v>
      </c>
      <c r="DH78" s="33">
        <v>0</v>
      </c>
      <c r="DI78" s="33">
        <v>0</v>
      </c>
      <c r="DJ78" s="33">
        <v>0</v>
      </c>
    </row>
    <row r="79" spans="1:114" ht="15.75" x14ac:dyDescent="0.25">
      <c r="A79">
        <v>80</v>
      </c>
      <c r="B79" t="s">
        <v>79</v>
      </c>
      <c r="C79" t="s">
        <v>80</v>
      </c>
      <c r="D79" t="s">
        <v>20</v>
      </c>
      <c r="E79" t="s">
        <v>21</v>
      </c>
      <c r="F79" t="s">
        <v>81</v>
      </c>
      <c r="G79" t="s">
        <v>150</v>
      </c>
      <c r="H79">
        <v>2025</v>
      </c>
      <c r="I79">
        <v>5</v>
      </c>
      <c r="J79" t="s">
        <v>47</v>
      </c>
      <c r="K79" t="s">
        <v>48</v>
      </c>
      <c r="L79" t="s">
        <v>26</v>
      </c>
      <c r="M79">
        <v>0</v>
      </c>
      <c r="N79">
        <v>8</v>
      </c>
      <c r="O79">
        <v>0</v>
      </c>
      <c r="P79">
        <v>0</v>
      </c>
      <c r="Q79">
        <v>0</v>
      </c>
      <c r="R79">
        <v>0</v>
      </c>
      <c r="AL79">
        <v>80</v>
      </c>
      <c r="AM79" t="s">
        <v>546</v>
      </c>
      <c r="AN79" t="s">
        <v>472</v>
      </c>
      <c r="AO79">
        <v>0.23975939357486609</v>
      </c>
      <c r="AP79" t="str">
        <f t="shared" si="10"/>
        <v/>
      </c>
      <c r="AQ79" t="str">
        <f t="shared" si="11"/>
        <v>E</v>
      </c>
      <c r="AV79">
        <v>78</v>
      </c>
      <c r="AW79" t="s">
        <v>577</v>
      </c>
      <c r="AZ79">
        <v>78</v>
      </c>
      <c r="BA79" t="s">
        <v>578</v>
      </c>
      <c r="BB79" t="s">
        <v>578</v>
      </c>
      <c r="BC79" t="str">
        <f t="shared" si="12"/>
        <v>HEADHEAD</v>
      </c>
      <c r="BG79">
        <v>78</v>
      </c>
      <c r="BH79">
        <v>1</v>
      </c>
      <c r="BM79">
        <v>78</v>
      </c>
      <c r="BN79" t="s">
        <v>20</v>
      </c>
      <c r="BO79" t="s">
        <v>595</v>
      </c>
      <c r="BV79">
        <v>78</v>
      </c>
      <c r="BW79" t="s">
        <v>20</v>
      </c>
      <c r="BX79">
        <v>2</v>
      </c>
      <c r="CC79" t="s">
        <v>80</v>
      </c>
      <c r="CD79">
        <v>87</v>
      </c>
      <c r="CT79" s="48" t="s">
        <v>700</v>
      </c>
      <c r="CU79" s="48"/>
    </row>
    <row r="80" spans="1:114" x14ac:dyDescent="0.25">
      <c r="A80">
        <v>81</v>
      </c>
      <c r="B80" t="s">
        <v>62</v>
      </c>
      <c r="C80" t="s">
        <v>63</v>
      </c>
      <c r="D80" t="s">
        <v>20</v>
      </c>
      <c r="E80" t="s">
        <v>54</v>
      </c>
      <c r="F80" t="s">
        <v>38</v>
      </c>
      <c r="G80" t="s">
        <v>151</v>
      </c>
      <c r="H80">
        <v>2024</v>
      </c>
      <c r="I80">
        <v>11</v>
      </c>
      <c r="J80" t="s">
        <v>74</v>
      </c>
      <c r="K80" t="s">
        <v>52</v>
      </c>
      <c r="L80" t="s">
        <v>45</v>
      </c>
      <c r="M80">
        <v>1</v>
      </c>
      <c r="N80">
        <v>8</v>
      </c>
      <c r="O80">
        <v>0</v>
      </c>
      <c r="P80">
        <v>0</v>
      </c>
      <c r="Q80">
        <v>0</v>
      </c>
      <c r="R80">
        <v>0</v>
      </c>
      <c r="AL80">
        <v>81</v>
      </c>
      <c r="AM80" t="s">
        <v>547</v>
      </c>
      <c r="AN80" t="s">
        <v>472</v>
      </c>
      <c r="AO80">
        <v>0.23820500837436465</v>
      </c>
      <c r="AP80" t="str">
        <f t="shared" si="10"/>
        <v/>
      </c>
      <c r="AQ80" t="str">
        <f t="shared" si="11"/>
        <v>E</v>
      </c>
      <c r="AV80">
        <v>79</v>
      </c>
      <c r="AW80" t="s">
        <v>578</v>
      </c>
      <c r="AZ80">
        <v>79</v>
      </c>
      <c r="BA80" t="s">
        <v>578</v>
      </c>
      <c r="BB80" t="s">
        <v>578</v>
      </c>
      <c r="BC80" t="str">
        <f t="shared" si="12"/>
        <v>HEADHEAD</v>
      </c>
      <c r="BG80">
        <v>79</v>
      </c>
      <c r="BH80">
        <v>1</v>
      </c>
      <c r="BM80">
        <v>79</v>
      </c>
      <c r="BN80" t="s">
        <v>20</v>
      </c>
      <c r="BO80" t="s">
        <v>594</v>
      </c>
      <c r="BV80">
        <v>79</v>
      </c>
      <c r="BW80" t="s">
        <v>20</v>
      </c>
      <c r="BX80">
        <v>4</v>
      </c>
      <c r="CC80" t="s">
        <v>63</v>
      </c>
      <c r="CD80">
        <v>72</v>
      </c>
    </row>
    <row r="81" spans="1:116" ht="15.75" thickBot="1" x14ac:dyDescent="0.3">
      <c r="A81">
        <v>82</v>
      </c>
      <c r="B81" t="s">
        <v>62</v>
      </c>
      <c r="C81" t="s">
        <v>63</v>
      </c>
      <c r="D81" t="s">
        <v>20</v>
      </c>
      <c r="E81" t="s">
        <v>37</v>
      </c>
      <c r="F81" t="s">
        <v>38</v>
      </c>
      <c r="G81" t="s">
        <v>152</v>
      </c>
      <c r="H81">
        <v>2025</v>
      </c>
      <c r="I81">
        <v>3</v>
      </c>
      <c r="J81" t="s">
        <v>40</v>
      </c>
      <c r="K81" t="s">
        <v>41</v>
      </c>
      <c r="L81" t="s">
        <v>53</v>
      </c>
      <c r="M81">
        <v>1</v>
      </c>
      <c r="N81">
        <v>8</v>
      </c>
      <c r="O81">
        <v>0</v>
      </c>
      <c r="P81">
        <v>0</v>
      </c>
      <c r="Q81">
        <v>0</v>
      </c>
      <c r="R81">
        <v>0</v>
      </c>
      <c r="AL81">
        <v>82</v>
      </c>
      <c r="AM81" t="s">
        <v>548</v>
      </c>
      <c r="AN81" t="s">
        <v>472</v>
      </c>
      <c r="AO81">
        <v>0.23184862764901437</v>
      </c>
      <c r="AP81" t="str">
        <f t="shared" si="10"/>
        <v>selected</v>
      </c>
      <c r="AQ81" t="str">
        <f t="shared" si="11"/>
        <v>E</v>
      </c>
      <c r="AV81">
        <v>80</v>
      </c>
      <c r="AW81" t="s">
        <v>578</v>
      </c>
      <c r="AZ81">
        <v>80</v>
      </c>
      <c r="BA81" t="s">
        <v>577</v>
      </c>
      <c r="BB81" t="s">
        <v>578</v>
      </c>
      <c r="BC81" t="str">
        <f t="shared" si="12"/>
        <v>TAILHEAD</v>
      </c>
      <c r="BG81">
        <v>80</v>
      </c>
      <c r="BH81">
        <v>6</v>
      </c>
      <c r="BM81">
        <v>80</v>
      </c>
      <c r="BN81" t="s">
        <v>20</v>
      </c>
      <c r="BO81" t="s">
        <v>594</v>
      </c>
      <c r="BV81">
        <v>80</v>
      </c>
      <c r="BW81" t="s">
        <v>20</v>
      </c>
      <c r="BX81">
        <v>5</v>
      </c>
      <c r="CC81" t="s">
        <v>63</v>
      </c>
      <c r="CD81">
        <v>65</v>
      </c>
      <c r="CT81" t="s">
        <v>686</v>
      </c>
      <c r="CU81" t="s">
        <v>657</v>
      </c>
      <c r="CV81" t="s">
        <v>658</v>
      </c>
      <c r="CW81" t="s">
        <v>699</v>
      </c>
      <c r="CX81" t="s">
        <v>634</v>
      </c>
      <c r="CY81" t="s">
        <v>672</v>
      </c>
      <c r="CZ81" t="s">
        <v>673</v>
      </c>
      <c r="DF81" t="s">
        <v>691</v>
      </c>
    </row>
    <row r="82" spans="1:116" ht="15.75" thickBot="1" x14ac:dyDescent="0.3">
      <c r="A82">
        <v>83</v>
      </c>
      <c r="B82" t="s">
        <v>79</v>
      </c>
      <c r="C82" t="s">
        <v>80</v>
      </c>
      <c r="D82" t="s">
        <v>20</v>
      </c>
      <c r="E82" t="s">
        <v>54</v>
      </c>
      <c r="F82" t="s">
        <v>81</v>
      </c>
      <c r="G82" t="s">
        <v>153</v>
      </c>
      <c r="H82">
        <v>2024</v>
      </c>
      <c r="I82">
        <v>9</v>
      </c>
      <c r="J82" t="s">
        <v>24</v>
      </c>
      <c r="K82" t="s">
        <v>25</v>
      </c>
      <c r="L82" t="s">
        <v>85</v>
      </c>
      <c r="M82">
        <v>0</v>
      </c>
      <c r="N82">
        <v>8</v>
      </c>
      <c r="O82">
        <v>1</v>
      </c>
      <c r="P82">
        <v>1</v>
      </c>
      <c r="Q82">
        <v>95</v>
      </c>
      <c r="R82">
        <v>6</v>
      </c>
      <c r="AL82">
        <v>83</v>
      </c>
      <c r="AM82" t="s">
        <v>549</v>
      </c>
      <c r="AN82" t="s">
        <v>472</v>
      </c>
      <c r="AO82">
        <v>0.23141753151596234</v>
      </c>
      <c r="AP82" t="str">
        <f t="shared" si="10"/>
        <v/>
      </c>
      <c r="AQ82" t="str">
        <f t="shared" si="11"/>
        <v>E</v>
      </c>
      <c r="AV82">
        <v>81</v>
      </c>
      <c r="AW82" t="s">
        <v>577</v>
      </c>
      <c r="AZ82">
        <v>81</v>
      </c>
      <c r="BA82" t="s">
        <v>577</v>
      </c>
      <c r="BB82" t="s">
        <v>578</v>
      </c>
      <c r="BC82" t="str">
        <f t="shared" si="12"/>
        <v>TAILHEAD</v>
      </c>
      <c r="BG82">
        <v>81</v>
      </c>
      <c r="BH82">
        <v>1</v>
      </c>
      <c r="BM82">
        <v>81</v>
      </c>
      <c r="BN82" t="s">
        <v>36</v>
      </c>
      <c r="BO82" t="s">
        <v>594</v>
      </c>
      <c r="BV82">
        <v>81</v>
      </c>
      <c r="BW82" t="s">
        <v>36</v>
      </c>
      <c r="BX82">
        <v>5</v>
      </c>
      <c r="CC82" t="s">
        <v>80</v>
      </c>
      <c r="CD82">
        <v>88</v>
      </c>
      <c r="CT82" s="47">
        <v>32</v>
      </c>
      <c r="CU82" s="47"/>
      <c r="CV82" s="47"/>
      <c r="CW82" s="47"/>
      <c r="DF82" s="34" t="s">
        <v>692</v>
      </c>
      <c r="DG82" s="34" t="s">
        <v>693</v>
      </c>
      <c r="DH82" s="34" t="s">
        <v>665</v>
      </c>
      <c r="DI82" s="34" t="s">
        <v>694</v>
      </c>
      <c r="DJ82" s="34" t="s">
        <v>36</v>
      </c>
      <c r="DK82" s="34" t="s">
        <v>695</v>
      </c>
      <c r="DL82" s="34" t="s">
        <v>696</v>
      </c>
    </row>
    <row r="83" spans="1:116" x14ac:dyDescent="0.25">
      <c r="A83">
        <v>84</v>
      </c>
      <c r="B83" t="s">
        <v>57</v>
      </c>
      <c r="C83" t="s">
        <v>58</v>
      </c>
      <c r="D83" t="s">
        <v>36</v>
      </c>
      <c r="E83" t="s">
        <v>49</v>
      </c>
      <c r="F83" t="s">
        <v>59</v>
      </c>
      <c r="G83" t="s">
        <v>154</v>
      </c>
      <c r="H83">
        <v>2024</v>
      </c>
      <c r="I83">
        <v>9</v>
      </c>
      <c r="J83" t="s">
        <v>24</v>
      </c>
      <c r="K83" t="s">
        <v>25</v>
      </c>
      <c r="L83" t="s">
        <v>45</v>
      </c>
      <c r="M83">
        <v>1</v>
      </c>
      <c r="N83">
        <v>8</v>
      </c>
      <c r="O83">
        <v>0</v>
      </c>
      <c r="P83">
        <v>0</v>
      </c>
      <c r="Q83">
        <v>0</v>
      </c>
      <c r="R83">
        <v>0</v>
      </c>
      <c r="AL83">
        <v>84</v>
      </c>
      <c r="AM83" t="s">
        <v>550</v>
      </c>
      <c r="AN83" t="s">
        <v>468</v>
      </c>
      <c r="AO83">
        <v>0.21769453375996095</v>
      </c>
      <c r="AP83" t="str">
        <f t="shared" si="10"/>
        <v/>
      </c>
      <c r="AQ83" t="str">
        <f t="shared" si="11"/>
        <v>F</v>
      </c>
      <c r="AV83">
        <v>82</v>
      </c>
      <c r="AW83" t="s">
        <v>577</v>
      </c>
      <c r="AZ83">
        <v>82</v>
      </c>
      <c r="BA83" t="s">
        <v>578</v>
      </c>
      <c r="BB83" t="s">
        <v>578</v>
      </c>
      <c r="BC83" t="str">
        <f t="shared" si="12"/>
        <v>HEADHEAD</v>
      </c>
      <c r="BG83">
        <v>82</v>
      </c>
      <c r="BH83">
        <v>2</v>
      </c>
      <c r="BM83">
        <v>82</v>
      </c>
      <c r="BN83" t="s">
        <v>36</v>
      </c>
      <c r="BO83" t="s">
        <v>594</v>
      </c>
      <c r="BV83">
        <v>82</v>
      </c>
      <c r="BW83" t="s">
        <v>36</v>
      </c>
      <c r="BX83">
        <v>1</v>
      </c>
      <c r="CC83" t="s">
        <v>58</v>
      </c>
      <c r="CD83">
        <v>61</v>
      </c>
      <c r="CT83" t="s">
        <v>688</v>
      </c>
      <c r="CU83">
        <v>11</v>
      </c>
      <c r="CV83">
        <v>11</v>
      </c>
      <c r="CW83">
        <v>22</v>
      </c>
      <c r="DF83" t="s">
        <v>706</v>
      </c>
      <c r="DG83">
        <v>49.272727272727025</v>
      </c>
      <c r="DH83">
        <v>10</v>
      </c>
      <c r="DI83">
        <v>4.9272727272727028</v>
      </c>
      <c r="DJ83">
        <v>0.99999999999998157</v>
      </c>
      <c r="DK83">
        <v>0.50000000000001121</v>
      </c>
      <c r="DL83">
        <v>2.9782370160823217</v>
      </c>
    </row>
    <row r="84" spans="1:116" x14ac:dyDescent="0.25">
      <c r="A84">
        <v>85</v>
      </c>
      <c r="B84" t="s">
        <v>42</v>
      </c>
      <c r="C84" t="s">
        <v>43</v>
      </c>
      <c r="D84" t="s">
        <v>36</v>
      </c>
      <c r="E84" t="s">
        <v>37</v>
      </c>
      <c r="F84" t="s">
        <v>22</v>
      </c>
      <c r="G84" t="s">
        <v>155</v>
      </c>
      <c r="H84">
        <v>2024</v>
      </c>
      <c r="I84">
        <v>5</v>
      </c>
      <c r="J84" t="s">
        <v>47</v>
      </c>
      <c r="K84" t="s">
        <v>48</v>
      </c>
      <c r="L84" t="s">
        <v>26</v>
      </c>
      <c r="M84">
        <v>0</v>
      </c>
      <c r="N84">
        <v>8</v>
      </c>
      <c r="O84">
        <v>1</v>
      </c>
      <c r="P84">
        <v>1</v>
      </c>
      <c r="Q84">
        <v>75</v>
      </c>
      <c r="R84">
        <v>1</v>
      </c>
      <c r="AL84">
        <v>85</v>
      </c>
      <c r="AM84" t="s">
        <v>551</v>
      </c>
      <c r="AN84" t="s">
        <v>468</v>
      </c>
      <c r="AO84">
        <v>0.21735287974339612</v>
      </c>
      <c r="AP84" t="str">
        <f t="shared" si="10"/>
        <v/>
      </c>
      <c r="AQ84" t="str">
        <f t="shared" si="11"/>
        <v>F</v>
      </c>
      <c r="AV84">
        <v>83</v>
      </c>
      <c r="AW84" t="s">
        <v>578</v>
      </c>
      <c r="AZ84">
        <v>83</v>
      </c>
      <c r="BA84" t="s">
        <v>578</v>
      </c>
      <c r="BB84" t="s">
        <v>578</v>
      </c>
      <c r="BC84" t="str">
        <f t="shared" si="12"/>
        <v>HEADHEAD</v>
      </c>
      <c r="BG84">
        <v>83</v>
      </c>
      <c r="BH84">
        <v>3</v>
      </c>
      <c r="BM84">
        <v>83</v>
      </c>
      <c r="BN84" t="s">
        <v>36</v>
      </c>
      <c r="BO84" t="s">
        <v>595</v>
      </c>
      <c r="BV84">
        <v>83</v>
      </c>
      <c r="BW84" t="s">
        <v>36</v>
      </c>
      <c r="BX84">
        <v>1</v>
      </c>
      <c r="CC84" t="s">
        <v>43</v>
      </c>
      <c r="CD84">
        <v>95</v>
      </c>
      <c r="CT84" t="s">
        <v>689</v>
      </c>
      <c r="CU84">
        <v>301</v>
      </c>
      <c r="CV84">
        <v>0</v>
      </c>
      <c r="CW84">
        <v>301</v>
      </c>
      <c r="DF84" t="s">
        <v>702</v>
      </c>
      <c r="DG84">
        <v>4118.2272727272721</v>
      </c>
      <c r="DH84">
        <v>1</v>
      </c>
      <c r="DI84">
        <v>4118.2272727272721</v>
      </c>
      <c r="DJ84">
        <v>835.80258302581888</v>
      </c>
      <c r="DK84">
        <v>5.7135505922014168E-11</v>
      </c>
      <c r="DL84">
        <v>4.9646027437307128</v>
      </c>
    </row>
    <row r="85" spans="1:116" x14ac:dyDescent="0.25">
      <c r="A85">
        <v>86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156</v>
      </c>
      <c r="H85">
        <v>2025</v>
      </c>
      <c r="I85">
        <v>7</v>
      </c>
      <c r="J85" t="s">
        <v>32</v>
      </c>
      <c r="K85" t="s">
        <v>25</v>
      </c>
      <c r="L85" t="s">
        <v>61</v>
      </c>
      <c r="M85">
        <v>0</v>
      </c>
      <c r="N85">
        <v>8</v>
      </c>
      <c r="O85">
        <v>1</v>
      </c>
      <c r="P85">
        <v>3</v>
      </c>
      <c r="Q85">
        <v>84</v>
      </c>
      <c r="R85">
        <v>2</v>
      </c>
      <c r="AL85">
        <v>86</v>
      </c>
      <c r="AM85" t="s">
        <v>552</v>
      </c>
      <c r="AN85" t="s">
        <v>468</v>
      </c>
      <c r="AO85">
        <v>0.21674767570613662</v>
      </c>
      <c r="AP85" t="str">
        <f t="shared" si="10"/>
        <v/>
      </c>
      <c r="AQ85" t="str">
        <f t="shared" si="11"/>
        <v>F</v>
      </c>
      <c r="AV85">
        <v>84</v>
      </c>
      <c r="AW85" t="s">
        <v>578</v>
      </c>
      <c r="AZ85">
        <v>84</v>
      </c>
      <c r="BA85" t="s">
        <v>577</v>
      </c>
      <c r="BB85" t="s">
        <v>578</v>
      </c>
      <c r="BC85" t="str">
        <f t="shared" si="12"/>
        <v>TAILHEAD</v>
      </c>
      <c r="BG85">
        <v>84</v>
      </c>
      <c r="BH85">
        <v>1</v>
      </c>
      <c r="BM85">
        <v>84</v>
      </c>
      <c r="BN85" t="s">
        <v>36</v>
      </c>
      <c r="BO85" t="s">
        <v>594</v>
      </c>
      <c r="BV85">
        <v>84</v>
      </c>
      <c r="BW85" t="s">
        <v>36</v>
      </c>
      <c r="BX85">
        <v>5</v>
      </c>
      <c r="CC85" t="s">
        <v>19</v>
      </c>
      <c r="CD85">
        <v>82</v>
      </c>
      <c r="CT85" t="s">
        <v>690</v>
      </c>
      <c r="CU85">
        <v>27.363636363636363</v>
      </c>
      <c r="CV85">
        <v>0</v>
      </c>
      <c r="CW85">
        <v>13.681818181818182</v>
      </c>
      <c r="DF85" t="s">
        <v>707</v>
      </c>
      <c r="DG85">
        <v>49.272727272727934</v>
      </c>
      <c r="DH85">
        <v>10</v>
      </c>
      <c r="DI85">
        <v>4.9272727272727934</v>
      </c>
    </row>
    <row r="86" spans="1:116" x14ac:dyDescent="0.25">
      <c r="A86">
        <v>87</v>
      </c>
      <c r="B86" t="s">
        <v>27</v>
      </c>
      <c r="C86" t="s">
        <v>28</v>
      </c>
      <c r="D86" t="s">
        <v>20</v>
      </c>
      <c r="E86" t="s">
        <v>54</v>
      </c>
      <c r="F86" t="s">
        <v>30</v>
      </c>
      <c r="G86" t="s">
        <v>157</v>
      </c>
      <c r="H86">
        <v>2024</v>
      </c>
      <c r="I86">
        <v>3</v>
      </c>
      <c r="J86" t="s">
        <v>40</v>
      </c>
      <c r="K86" t="s">
        <v>41</v>
      </c>
      <c r="L86" t="s">
        <v>53</v>
      </c>
      <c r="M86">
        <v>1</v>
      </c>
      <c r="N86">
        <v>8</v>
      </c>
      <c r="O86">
        <v>1</v>
      </c>
      <c r="P86">
        <v>3</v>
      </c>
      <c r="Q86">
        <v>95</v>
      </c>
      <c r="R86">
        <v>6</v>
      </c>
      <c r="AL86">
        <v>87</v>
      </c>
      <c r="AM86" t="s">
        <v>553</v>
      </c>
      <c r="AN86" t="s">
        <v>468</v>
      </c>
      <c r="AO86">
        <v>0.21619801850725051</v>
      </c>
      <c r="AP86" t="str">
        <f t="shared" si="10"/>
        <v/>
      </c>
      <c r="AQ86" t="str">
        <f t="shared" si="11"/>
        <v>F</v>
      </c>
      <c r="AV86">
        <v>85</v>
      </c>
      <c r="AW86" t="s">
        <v>577</v>
      </c>
      <c r="AZ86">
        <v>85</v>
      </c>
      <c r="BA86" t="s">
        <v>578</v>
      </c>
      <c r="BB86" t="s">
        <v>578</v>
      </c>
      <c r="BC86" t="str">
        <f t="shared" si="12"/>
        <v>HEADHEAD</v>
      </c>
      <c r="BG86">
        <v>85</v>
      </c>
      <c r="BH86">
        <v>6</v>
      </c>
      <c r="BM86">
        <v>85</v>
      </c>
      <c r="BN86" t="s">
        <v>20</v>
      </c>
      <c r="BO86" t="s">
        <v>594</v>
      </c>
      <c r="BV86">
        <v>85</v>
      </c>
      <c r="BW86" t="s">
        <v>20</v>
      </c>
      <c r="BX86">
        <v>6</v>
      </c>
      <c r="CC86" t="s">
        <v>28</v>
      </c>
      <c r="CD86">
        <v>68</v>
      </c>
      <c r="CT86" t="s">
        <v>661</v>
      </c>
      <c r="CU86">
        <v>9.8545454545454056</v>
      </c>
      <c r="CV86">
        <v>0</v>
      </c>
      <c r="CW86">
        <v>200.79870129870127</v>
      </c>
    </row>
    <row r="87" spans="1:116" x14ac:dyDescent="0.25">
      <c r="A87">
        <v>88</v>
      </c>
      <c r="B87" t="s">
        <v>122</v>
      </c>
      <c r="C87" t="s">
        <v>123</v>
      </c>
      <c r="D87" t="s">
        <v>20</v>
      </c>
      <c r="E87" t="s">
        <v>29</v>
      </c>
      <c r="F87" t="s">
        <v>71</v>
      </c>
      <c r="G87" t="s">
        <v>158</v>
      </c>
      <c r="H87">
        <v>2024</v>
      </c>
      <c r="I87">
        <v>12</v>
      </c>
      <c r="J87" t="s">
        <v>51</v>
      </c>
      <c r="K87" t="s">
        <v>52</v>
      </c>
      <c r="L87" t="s">
        <v>61</v>
      </c>
      <c r="M87">
        <v>0</v>
      </c>
      <c r="N87">
        <v>8</v>
      </c>
      <c r="O87">
        <v>0</v>
      </c>
      <c r="P87">
        <v>0</v>
      </c>
      <c r="Q87">
        <v>0</v>
      </c>
      <c r="R87">
        <v>0</v>
      </c>
      <c r="AL87">
        <v>88</v>
      </c>
      <c r="AM87" t="s">
        <v>554</v>
      </c>
      <c r="AN87" t="s">
        <v>468</v>
      </c>
      <c r="AO87">
        <v>0.21485286242231882</v>
      </c>
      <c r="AP87" t="str">
        <f t="shared" si="10"/>
        <v/>
      </c>
      <c r="AQ87" t="str">
        <f t="shared" si="11"/>
        <v>F</v>
      </c>
      <c r="AV87">
        <v>86</v>
      </c>
      <c r="AW87" t="s">
        <v>577</v>
      </c>
      <c r="AZ87">
        <v>86</v>
      </c>
      <c r="BA87" t="s">
        <v>578</v>
      </c>
      <c r="BB87" t="s">
        <v>578</v>
      </c>
      <c r="BC87" t="str">
        <f t="shared" si="12"/>
        <v>HEADHEAD</v>
      </c>
      <c r="BG87">
        <v>86</v>
      </c>
      <c r="BH87">
        <v>2</v>
      </c>
      <c r="BM87">
        <v>86</v>
      </c>
      <c r="BN87" t="s">
        <v>36</v>
      </c>
      <c r="BO87" t="s">
        <v>595</v>
      </c>
      <c r="BV87">
        <v>86</v>
      </c>
      <c r="BW87" t="s">
        <v>36</v>
      </c>
      <c r="BX87">
        <v>1</v>
      </c>
      <c r="CC87" t="s">
        <v>123</v>
      </c>
      <c r="CD87">
        <v>95</v>
      </c>
      <c r="DF87" t="s">
        <v>699</v>
      </c>
      <c r="DG87">
        <v>4216.772727272727</v>
      </c>
      <c r="DH87">
        <v>21</v>
      </c>
    </row>
    <row r="88" spans="1:116" ht="15.75" thickBot="1" x14ac:dyDescent="0.3">
      <c r="A88">
        <v>89</v>
      </c>
      <c r="B88" t="s">
        <v>65</v>
      </c>
      <c r="C88" t="s">
        <v>66</v>
      </c>
      <c r="D88" t="s">
        <v>36</v>
      </c>
      <c r="E88" t="s">
        <v>37</v>
      </c>
      <c r="F88" t="s">
        <v>38</v>
      </c>
      <c r="G88" t="s">
        <v>124</v>
      </c>
      <c r="H88">
        <v>2025</v>
      </c>
      <c r="I88">
        <v>3</v>
      </c>
      <c r="J88" t="s">
        <v>40</v>
      </c>
      <c r="K88" t="s">
        <v>41</v>
      </c>
      <c r="L88" t="s">
        <v>85</v>
      </c>
      <c r="M88">
        <v>0</v>
      </c>
      <c r="N88">
        <v>8</v>
      </c>
      <c r="O88">
        <v>0</v>
      </c>
      <c r="P88">
        <v>0</v>
      </c>
      <c r="Q88">
        <v>0</v>
      </c>
      <c r="R88">
        <v>0</v>
      </c>
      <c r="AL88">
        <v>89</v>
      </c>
      <c r="AM88" t="s">
        <v>555</v>
      </c>
      <c r="AN88" t="s">
        <v>468</v>
      </c>
      <c r="AO88">
        <v>0.18807995379967335</v>
      </c>
      <c r="AP88" t="str">
        <f t="shared" si="10"/>
        <v/>
      </c>
      <c r="AQ88" t="str">
        <f t="shared" si="11"/>
        <v>F</v>
      </c>
      <c r="AV88">
        <v>87</v>
      </c>
      <c r="AW88" t="s">
        <v>578</v>
      </c>
      <c r="AZ88">
        <v>87</v>
      </c>
      <c r="BA88" t="s">
        <v>577</v>
      </c>
      <c r="BB88" t="s">
        <v>578</v>
      </c>
      <c r="BC88" t="str">
        <f t="shared" si="12"/>
        <v>TAILHEAD</v>
      </c>
      <c r="BG88">
        <v>87</v>
      </c>
      <c r="BH88">
        <v>2</v>
      </c>
      <c r="BM88">
        <v>87</v>
      </c>
      <c r="BN88" t="s">
        <v>36</v>
      </c>
      <c r="BO88" t="s">
        <v>595</v>
      </c>
      <c r="BV88">
        <v>87</v>
      </c>
      <c r="BW88" t="s">
        <v>36</v>
      </c>
      <c r="BX88">
        <v>1</v>
      </c>
      <c r="CC88" t="s">
        <v>66</v>
      </c>
      <c r="CD88">
        <v>94</v>
      </c>
      <c r="CT88" s="47" t="s">
        <v>699</v>
      </c>
      <c r="CU88" s="47"/>
      <c r="CV88" s="47"/>
    </row>
    <row r="89" spans="1:116" x14ac:dyDescent="0.25">
      <c r="A89">
        <v>90</v>
      </c>
      <c r="B89" t="s">
        <v>65</v>
      </c>
      <c r="C89" t="s">
        <v>66</v>
      </c>
      <c r="D89" t="s">
        <v>36</v>
      </c>
      <c r="E89" t="s">
        <v>54</v>
      </c>
      <c r="F89" t="s">
        <v>38</v>
      </c>
      <c r="G89" t="s">
        <v>159</v>
      </c>
      <c r="H89">
        <v>2024</v>
      </c>
      <c r="I89">
        <v>5</v>
      </c>
      <c r="J89" t="s">
        <v>47</v>
      </c>
      <c r="K89" t="s">
        <v>48</v>
      </c>
      <c r="L89" t="s">
        <v>61</v>
      </c>
      <c r="M89">
        <v>0</v>
      </c>
      <c r="N89">
        <v>8</v>
      </c>
      <c r="O89">
        <v>1</v>
      </c>
      <c r="P89">
        <v>1</v>
      </c>
      <c r="Q89">
        <v>90</v>
      </c>
      <c r="R89">
        <v>8</v>
      </c>
      <c r="AL89">
        <v>90</v>
      </c>
      <c r="AM89" t="s">
        <v>556</v>
      </c>
      <c r="AN89" t="s">
        <v>468</v>
      </c>
      <c r="AO89">
        <v>0.17312856097628693</v>
      </c>
      <c r="AP89" t="str">
        <f t="shared" si="10"/>
        <v/>
      </c>
      <c r="AQ89" t="str">
        <f t="shared" si="11"/>
        <v>F</v>
      </c>
      <c r="AV89">
        <v>88</v>
      </c>
      <c r="AW89" t="s">
        <v>577</v>
      </c>
      <c r="AZ89">
        <v>88</v>
      </c>
      <c r="BA89" t="s">
        <v>578</v>
      </c>
      <c r="BB89" t="s">
        <v>577</v>
      </c>
      <c r="BC89" t="str">
        <f t="shared" si="12"/>
        <v>HEADTAIL</v>
      </c>
      <c r="BG89">
        <v>88</v>
      </c>
      <c r="BH89">
        <v>5</v>
      </c>
      <c r="BM89">
        <v>88</v>
      </c>
      <c r="BN89" t="s">
        <v>36</v>
      </c>
      <c r="BO89" t="s">
        <v>595</v>
      </c>
      <c r="BV89">
        <v>88</v>
      </c>
      <c r="BW89" t="s">
        <v>36</v>
      </c>
      <c r="BX89">
        <v>3</v>
      </c>
      <c r="CC89" t="s">
        <v>66</v>
      </c>
      <c r="CD89">
        <v>60</v>
      </c>
      <c r="CT89" t="s">
        <v>688</v>
      </c>
      <c r="CU89">
        <v>11</v>
      </c>
      <c r="CV89">
        <v>11</v>
      </c>
    </row>
    <row r="90" spans="1:116" x14ac:dyDescent="0.25">
      <c r="A90">
        <v>91</v>
      </c>
      <c r="B90" t="s">
        <v>65</v>
      </c>
      <c r="C90" t="s">
        <v>66</v>
      </c>
      <c r="D90" t="s">
        <v>36</v>
      </c>
      <c r="E90" t="s">
        <v>49</v>
      </c>
      <c r="F90" t="s">
        <v>38</v>
      </c>
      <c r="G90" t="s">
        <v>160</v>
      </c>
      <c r="H90">
        <v>2025</v>
      </c>
      <c r="I90">
        <v>10</v>
      </c>
      <c r="J90" t="s">
        <v>105</v>
      </c>
      <c r="K90" t="s">
        <v>52</v>
      </c>
      <c r="L90" t="s">
        <v>45</v>
      </c>
      <c r="M90">
        <v>1</v>
      </c>
      <c r="N90">
        <v>8</v>
      </c>
      <c r="O90">
        <v>0</v>
      </c>
      <c r="P90">
        <v>0</v>
      </c>
      <c r="Q90">
        <v>0</v>
      </c>
      <c r="R90">
        <v>0</v>
      </c>
      <c r="AL90">
        <v>91</v>
      </c>
      <c r="AM90" t="s">
        <v>557</v>
      </c>
      <c r="AN90" t="s">
        <v>468</v>
      </c>
      <c r="AO90">
        <v>0.17031860221636497</v>
      </c>
      <c r="AP90" t="str">
        <f t="shared" si="10"/>
        <v/>
      </c>
      <c r="AQ90" t="str">
        <f t="shared" si="11"/>
        <v>F</v>
      </c>
      <c r="AV90">
        <v>89</v>
      </c>
      <c r="AW90" t="s">
        <v>578</v>
      </c>
      <c r="AZ90">
        <v>89</v>
      </c>
      <c r="BA90" t="s">
        <v>577</v>
      </c>
      <c r="BB90" t="s">
        <v>577</v>
      </c>
      <c r="BC90" t="str">
        <f t="shared" si="12"/>
        <v>TAILTAIL</v>
      </c>
      <c r="BG90">
        <v>89</v>
      </c>
      <c r="BH90">
        <v>2</v>
      </c>
      <c r="BM90">
        <v>89</v>
      </c>
      <c r="BN90" t="s">
        <v>36</v>
      </c>
      <c r="BO90" t="s">
        <v>595</v>
      </c>
      <c r="BV90">
        <v>89</v>
      </c>
      <c r="BW90" t="s">
        <v>36</v>
      </c>
      <c r="BX90">
        <v>6</v>
      </c>
      <c r="CC90" t="s">
        <v>66</v>
      </c>
      <c r="CD90">
        <v>92</v>
      </c>
      <c r="CT90" t="s">
        <v>689</v>
      </c>
      <c r="CU90">
        <v>301</v>
      </c>
      <c r="CV90">
        <v>0</v>
      </c>
    </row>
    <row r="91" spans="1:116" x14ac:dyDescent="0.25">
      <c r="A91">
        <v>92</v>
      </c>
      <c r="B91" t="s">
        <v>34</v>
      </c>
      <c r="C91" t="s">
        <v>35</v>
      </c>
      <c r="D91" t="s">
        <v>36</v>
      </c>
      <c r="E91" t="s">
        <v>21</v>
      </c>
      <c r="F91" t="s">
        <v>38</v>
      </c>
      <c r="G91" t="s">
        <v>161</v>
      </c>
      <c r="H91">
        <v>2025</v>
      </c>
      <c r="I91">
        <v>1</v>
      </c>
      <c r="J91" t="s">
        <v>68</v>
      </c>
      <c r="K91" t="s">
        <v>41</v>
      </c>
      <c r="L91" t="s">
        <v>26</v>
      </c>
      <c r="M91">
        <v>0</v>
      </c>
      <c r="N91">
        <v>8</v>
      </c>
      <c r="O91">
        <v>1</v>
      </c>
      <c r="P91">
        <v>2</v>
      </c>
      <c r="Q91">
        <v>71</v>
      </c>
      <c r="R91">
        <v>0</v>
      </c>
      <c r="AL91">
        <v>92</v>
      </c>
      <c r="AM91" t="s">
        <v>558</v>
      </c>
      <c r="AN91" t="s">
        <v>468</v>
      </c>
      <c r="AO91">
        <v>0.16534447279587017</v>
      </c>
      <c r="AP91" t="str">
        <f t="shared" si="10"/>
        <v>selected</v>
      </c>
      <c r="AQ91" t="str">
        <f t="shared" si="11"/>
        <v>F</v>
      </c>
      <c r="AV91">
        <v>90</v>
      </c>
      <c r="AW91" t="s">
        <v>577</v>
      </c>
      <c r="AZ91">
        <v>90</v>
      </c>
      <c r="BA91" t="s">
        <v>577</v>
      </c>
      <c r="BB91" t="s">
        <v>578</v>
      </c>
      <c r="BC91" t="str">
        <f t="shared" si="12"/>
        <v>TAILHEAD</v>
      </c>
      <c r="BG91">
        <v>90</v>
      </c>
      <c r="BH91">
        <v>1</v>
      </c>
      <c r="BM91">
        <v>90</v>
      </c>
      <c r="BN91" t="s">
        <v>20</v>
      </c>
      <c r="BO91" t="s">
        <v>595</v>
      </c>
      <c r="BV91">
        <v>90</v>
      </c>
      <c r="BW91" t="s">
        <v>20</v>
      </c>
      <c r="BX91">
        <v>5</v>
      </c>
      <c r="CC91" t="s">
        <v>35</v>
      </c>
      <c r="CD91">
        <v>83</v>
      </c>
      <c r="CT91" t="s">
        <v>690</v>
      </c>
      <c r="CU91">
        <v>27.363636363636363</v>
      </c>
      <c r="CV91">
        <v>0</v>
      </c>
    </row>
    <row r="92" spans="1:116" x14ac:dyDescent="0.25">
      <c r="A92">
        <v>93</v>
      </c>
      <c r="B92" t="s">
        <v>42</v>
      </c>
      <c r="C92" t="s">
        <v>43</v>
      </c>
      <c r="D92" t="s">
        <v>36</v>
      </c>
      <c r="E92" t="s">
        <v>49</v>
      </c>
      <c r="F92" t="s">
        <v>22</v>
      </c>
      <c r="G92" t="s">
        <v>162</v>
      </c>
      <c r="H92">
        <v>2025</v>
      </c>
      <c r="I92">
        <v>1</v>
      </c>
      <c r="J92" t="s">
        <v>68</v>
      </c>
      <c r="K92" t="s">
        <v>41</v>
      </c>
      <c r="L92" t="s">
        <v>61</v>
      </c>
      <c r="M92">
        <v>0</v>
      </c>
      <c r="N92">
        <v>8</v>
      </c>
      <c r="O92">
        <v>0</v>
      </c>
      <c r="P92">
        <v>0</v>
      </c>
      <c r="Q92">
        <v>0</v>
      </c>
      <c r="R92">
        <v>0</v>
      </c>
      <c r="AL92">
        <v>93</v>
      </c>
      <c r="AM92" t="s">
        <v>559</v>
      </c>
      <c r="AN92" t="s">
        <v>468</v>
      </c>
      <c r="AO92">
        <v>0.12933236503209533</v>
      </c>
      <c r="AP92" t="str">
        <f t="shared" si="10"/>
        <v/>
      </c>
      <c r="AQ92" t="str">
        <f t="shared" si="11"/>
        <v>F</v>
      </c>
      <c r="AV92">
        <v>91</v>
      </c>
      <c r="AW92" t="s">
        <v>577</v>
      </c>
      <c r="AZ92">
        <v>91</v>
      </c>
      <c r="BA92" t="s">
        <v>577</v>
      </c>
      <c r="BB92" t="s">
        <v>577</v>
      </c>
      <c r="BC92" t="str">
        <f t="shared" si="12"/>
        <v>TAILTAIL</v>
      </c>
      <c r="BG92">
        <v>91</v>
      </c>
      <c r="BH92">
        <v>5</v>
      </c>
      <c r="BM92">
        <v>91</v>
      </c>
      <c r="BN92" t="s">
        <v>36</v>
      </c>
      <c r="BO92" t="s">
        <v>595</v>
      </c>
      <c r="BV92">
        <v>91</v>
      </c>
      <c r="BW92" t="s">
        <v>36</v>
      </c>
      <c r="BX92">
        <v>5</v>
      </c>
      <c r="CC92" t="s">
        <v>43</v>
      </c>
      <c r="CD92">
        <v>85</v>
      </c>
      <c r="CT92" t="s">
        <v>661</v>
      </c>
      <c r="CU92">
        <v>9.8545454545454056</v>
      </c>
      <c r="CV92">
        <v>0</v>
      </c>
    </row>
    <row r="93" spans="1:116" x14ac:dyDescent="0.25">
      <c r="A93">
        <v>94</v>
      </c>
      <c r="B93" t="s">
        <v>79</v>
      </c>
      <c r="C93" t="s">
        <v>80</v>
      </c>
      <c r="D93" t="s">
        <v>20</v>
      </c>
      <c r="E93" t="s">
        <v>54</v>
      </c>
      <c r="F93" t="s">
        <v>81</v>
      </c>
      <c r="G93" t="s">
        <v>163</v>
      </c>
      <c r="H93">
        <v>2025</v>
      </c>
      <c r="I93">
        <v>3</v>
      </c>
      <c r="J93" t="s">
        <v>40</v>
      </c>
      <c r="K93" t="s">
        <v>41</v>
      </c>
      <c r="L93" t="s">
        <v>33</v>
      </c>
      <c r="M93">
        <v>0</v>
      </c>
      <c r="N93">
        <v>8</v>
      </c>
      <c r="O93">
        <v>1</v>
      </c>
      <c r="P93">
        <v>0</v>
      </c>
      <c r="Q93">
        <v>63</v>
      </c>
      <c r="R93">
        <v>4</v>
      </c>
      <c r="AL93">
        <v>94</v>
      </c>
      <c r="AM93" t="s">
        <v>560</v>
      </c>
      <c r="AN93" t="s">
        <v>468</v>
      </c>
      <c r="AO93">
        <v>0.10327850265711713</v>
      </c>
      <c r="AP93" t="str">
        <f t="shared" si="10"/>
        <v/>
      </c>
      <c r="AQ93" t="str">
        <f t="shared" si="11"/>
        <v>F</v>
      </c>
      <c r="AV93">
        <v>92</v>
      </c>
      <c r="AW93" t="s">
        <v>578</v>
      </c>
      <c r="AZ93">
        <v>92</v>
      </c>
      <c r="BA93" t="s">
        <v>578</v>
      </c>
      <c r="BB93" t="s">
        <v>578</v>
      </c>
      <c r="BC93" t="str">
        <f t="shared" si="12"/>
        <v>HEADHEAD</v>
      </c>
      <c r="BG93">
        <v>92</v>
      </c>
      <c r="BH93">
        <v>6</v>
      </c>
      <c r="BM93">
        <v>92</v>
      </c>
      <c r="BN93" t="s">
        <v>20</v>
      </c>
      <c r="BO93" t="s">
        <v>594</v>
      </c>
      <c r="BV93">
        <v>92</v>
      </c>
      <c r="BW93" t="s">
        <v>20</v>
      </c>
      <c r="BX93">
        <v>5</v>
      </c>
      <c r="CC93" t="s">
        <v>80</v>
      </c>
      <c r="CD93">
        <v>79</v>
      </c>
    </row>
    <row r="94" spans="1:116" x14ac:dyDescent="0.25">
      <c r="A94">
        <v>95</v>
      </c>
      <c r="B94" t="s">
        <v>57</v>
      </c>
      <c r="C94" t="s">
        <v>58</v>
      </c>
      <c r="D94" t="s">
        <v>36</v>
      </c>
      <c r="E94" t="s">
        <v>54</v>
      </c>
      <c r="F94" t="s">
        <v>59</v>
      </c>
      <c r="G94" t="s">
        <v>164</v>
      </c>
      <c r="H94">
        <v>2025</v>
      </c>
      <c r="I94">
        <v>4</v>
      </c>
      <c r="J94" t="s">
        <v>89</v>
      </c>
      <c r="K94" t="s">
        <v>48</v>
      </c>
      <c r="L94" t="s">
        <v>85</v>
      </c>
      <c r="M94">
        <v>0</v>
      </c>
      <c r="N94">
        <v>8</v>
      </c>
      <c r="O94">
        <v>1</v>
      </c>
      <c r="P94">
        <v>2</v>
      </c>
      <c r="Q94">
        <v>90</v>
      </c>
      <c r="R94">
        <v>2</v>
      </c>
      <c r="AL94">
        <v>95</v>
      </c>
      <c r="AM94" t="s">
        <v>561</v>
      </c>
      <c r="AN94" t="s">
        <v>468</v>
      </c>
      <c r="AO94">
        <v>9.1793736085011957E-2</v>
      </c>
      <c r="AP94" t="str">
        <f t="shared" si="10"/>
        <v/>
      </c>
      <c r="AQ94" t="str">
        <f t="shared" si="11"/>
        <v>F</v>
      </c>
      <c r="AV94">
        <v>93</v>
      </c>
      <c r="AW94" t="s">
        <v>578</v>
      </c>
      <c r="AZ94">
        <v>93</v>
      </c>
      <c r="BA94" t="s">
        <v>577</v>
      </c>
      <c r="BB94" t="s">
        <v>578</v>
      </c>
      <c r="BC94" t="str">
        <f t="shared" si="12"/>
        <v>TAILHEAD</v>
      </c>
      <c r="BG94">
        <v>93</v>
      </c>
      <c r="BH94">
        <v>3</v>
      </c>
      <c r="BM94">
        <v>93</v>
      </c>
      <c r="BN94" t="s">
        <v>36</v>
      </c>
      <c r="BO94" t="s">
        <v>595</v>
      </c>
      <c r="BV94">
        <v>93</v>
      </c>
      <c r="BW94" t="s">
        <v>36</v>
      </c>
      <c r="BX94">
        <v>6</v>
      </c>
      <c r="CC94" t="s">
        <v>58</v>
      </c>
      <c r="CD94">
        <v>68</v>
      </c>
    </row>
    <row r="95" spans="1:116" ht="15.75" thickBot="1" x14ac:dyDescent="0.3">
      <c r="A95">
        <v>96</v>
      </c>
      <c r="B95" t="s">
        <v>27</v>
      </c>
      <c r="C95" t="s">
        <v>28</v>
      </c>
      <c r="D95" t="s">
        <v>20</v>
      </c>
      <c r="E95" t="s">
        <v>49</v>
      </c>
      <c r="F95" t="s">
        <v>30</v>
      </c>
      <c r="G95" t="s">
        <v>31</v>
      </c>
      <c r="H95">
        <v>2025</v>
      </c>
      <c r="I95">
        <v>7</v>
      </c>
      <c r="J95" t="s">
        <v>32</v>
      </c>
      <c r="K95" t="s">
        <v>25</v>
      </c>
      <c r="L95" t="s">
        <v>33</v>
      </c>
      <c r="M95">
        <v>0</v>
      </c>
      <c r="N95">
        <v>8</v>
      </c>
      <c r="O95">
        <v>0</v>
      </c>
      <c r="P95">
        <v>0</v>
      </c>
      <c r="Q95">
        <v>0</v>
      </c>
      <c r="R95">
        <v>0</v>
      </c>
      <c r="AL95">
        <v>96</v>
      </c>
      <c r="AM95" t="s">
        <v>562</v>
      </c>
      <c r="AN95" t="s">
        <v>468</v>
      </c>
      <c r="AO95">
        <v>8.8733284280525293E-2</v>
      </c>
      <c r="AP95" t="str">
        <f t="shared" si="10"/>
        <v/>
      </c>
      <c r="AQ95" t="str">
        <f t="shared" si="11"/>
        <v>F</v>
      </c>
      <c r="AV95">
        <v>94</v>
      </c>
      <c r="AW95" t="s">
        <v>577</v>
      </c>
      <c r="AZ95">
        <v>94</v>
      </c>
      <c r="BA95" t="s">
        <v>578</v>
      </c>
      <c r="BB95" t="s">
        <v>577</v>
      </c>
      <c r="BC95" t="str">
        <f t="shared" si="12"/>
        <v>HEADTAIL</v>
      </c>
      <c r="BG95">
        <v>94</v>
      </c>
      <c r="BH95">
        <v>6</v>
      </c>
      <c r="BM95">
        <v>94</v>
      </c>
      <c r="BN95" t="s">
        <v>36</v>
      </c>
      <c r="BO95" t="s">
        <v>595</v>
      </c>
      <c r="BV95">
        <v>94</v>
      </c>
      <c r="BW95" t="s">
        <v>36</v>
      </c>
      <c r="BX95">
        <v>3</v>
      </c>
      <c r="CC95" t="s">
        <v>28</v>
      </c>
      <c r="CD95">
        <v>90</v>
      </c>
      <c r="CT95" t="s">
        <v>691</v>
      </c>
    </row>
    <row r="96" spans="1:116" x14ac:dyDescent="0.25">
      <c r="A96">
        <v>97</v>
      </c>
      <c r="B96" t="s">
        <v>42</v>
      </c>
      <c r="C96" t="s">
        <v>43</v>
      </c>
      <c r="D96" t="s">
        <v>36</v>
      </c>
      <c r="E96" t="s">
        <v>37</v>
      </c>
      <c r="F96" t="s">
        <v>22</v>
      </c>
      <c r="G96" t="s">
        <v>165</v>
      </c>
      <c r="H96">
        <v>2025</v>
      </c>
      <c r="I96">
        <v>4</v>
      </c>
      <c r="J96" t="s">
        <v>89</v>
      </c>
      <c r="K96" t="s">
        <v>48</v>
      </c>
      <c r="L96" t="s">
        <v>45</v>
      </c>
      <c r="M96">
        <v>1</v>
      </c>
      <c r="N96">
        <v>8</v>
      </c>
      <c r="O96">
        <v>0</v>
      </c>
      <c r="P96">
        <v>0</v>
      </c>
      <c r="Q96">
        <v>0</v>
      </c>
      <c r="R96">
        <v>0</v>
      </c>
      <c r="AL96">
        <v>97</v>
      </c>
      <c r="AM96" t="s">
        <v>563</v>
      </c>
      <c r="AN96" t="s">
        <v>468</v>
      </c>
      <c r="AO96">
        <v>5.4548272175817702E-2</v>
      </c>
      <c r="AP96" t="str">
        <f t="shared" si="10"/>
        <v/>
      </c>
      <c r="AQ96" t="str">
        <f t="shared" si="11"/>
        <v>F</v>
      </c>
      <c r="AV96">
        <v>95</v>
      </c>
      <c r="AW96" t="s">
        <v>577</v>
      </c>
      <c r="AZ96">
        <v>95</v>
      </c>
      <c r="BA96" t="s">
        <v>578</v>
      </c>
      <c r="BB96" t="s">
        <v>577</v>
      </c>
      <c r="BC96" t="str">
        <f t="shared" si="12"/>
        <v>HEADTAIL</v>
      </c>
      <c r="BG96">
        <v>95</v>
      </c>
      <c r="BH96">
        <v>5</v>
      </c>
      <c r="BM96">
        <v>95</v>
      </c>
      <c r="BN96" t="s">
        <v>36</v>
      </c>
      <c r="BO96" t="s">
        <v>594</v>
      </c>
      <c r="BV96">
        <v>95</v>
      </c>
      <c r="BW96" t="s">
        <v>36</v>
      </c>
      <c r="BX96">
        <v>4</v>
      </c>
      <c r="CC96" t="s">
        <v>43</v>
      </c>
      <c r="CD96">
        <v>69</v>
      </c>
      <c r="CT96" s="34" t="s">
        <v>692</v>
      </c>
      <c r="CU96" s="34" t="s">
        <v>693</v>
      </c>
      <c r="CV96" s="34" t="s">
        <v>665</v>
      </c>
      <c r="CW96" s="34" t="s">
        <v>694</v>
      </c>
      <c r="CX96" s="34" t="s">
        <v>36</v>
      </c>
      <c r="CY96" s="34" t="s">
        <v>695</v>
      </c>
      <c r="CZ96" s="34" t="s">
        <v>696</v>
      </c>
    </row>
    <row r="97" spans="1:104" x14ac:dyDescent="0.25">
      <c r="A97">
        <v>98</v>
      </c>
      <c r="B97" t="s">
        <v>42</v>
      </c>
      <c r="C97" t="s">
        <v>43</v>
      </c>
      <c r="D97" t="s">
        <v>36</v>
      </c>
      <c r="E97" t="s">
        <v>54</v>
      </c>
      <c r="F97" t="s">
        <v>22</v>
      </c>
      <c r="G97" t="s">
        <v>166</v>
      </c>
      <c r="H97">
        <v>2024</v>
      </c>
      <c r="I97">
        <v>9</v>
      </c>
      <c r="J97" t="s">
        <v>24</v>
      </c>
      <c r="K97" t="s">
        <v>25</v>
      </c>
      <c r="L97" t="s">
        <v>26</v>
      </c>
      <c r="M97">
        <v>0</v>
      </c>
      <c r="N97">
        <v>8</v>
      </c>
      <c r="O97">
        <v>1</v>
      </c>
      <c r="P97">
        <v>3</v>
      </c>
      <c r="Q97">
        <v>67</v>
      </c>
      <c r="R97">
        <v>10</v>
      </c>
      <c r="AL97">
        <v>98</v>
      </c>
      <c r="AM97" t="s">
        <v>564</v>
      </c>
      <c r="AN97" t="s">
        <v>468</v>
      </c>
      <c r="AO97">
        <v>5.1565855449651976E-2</v>
      </c>
      <c r="AP97" t="str">
        <f t="shared" si="10"/>
        <v/>
      </c>
      <c r="AQ97" t="str">
        <f t="shared" si="11"/>
        <v>F</v>
      </c>
      <c r="AV97">
        <v>96</v>
      </c>
      <c r="AW97" t="s">
        <v>578</v>
      </c>
      <c r="AZ97">
        <v>96</v>
      </c>
      <c r="BA97" t="s">
        <v>578</v>
      </c>
      <c r="BB97" t="s">
        <v>577</v>
      </c>
      <c r="BC97" t="str">
        <f t="shared" si="12"/>
        <v>HEADTAIL</v>
      </c>
      <c r="BG97">
        <v>96</v>
      </c>
      <c r="BH97">
        <v>5</v>
      </c>
      <c r="BM97">
        <v>96</v>
      </c>
      <c r="BN97" t="s">
        <v>20</v>
      </c>
      <c r="BO97" t="s">
        <v>594</v>
      </c>
      <c r="BV97">
        <v>96</v>
      </c>
      <c r="BW97" t="s">
        <v>20</v>
      </c>
      <c r="BX97">
        <v>5</v>
      </c>
      <c r="CC97" t="s">
        <v>43</v>
      </c>
      <c r="CD97">
        <v>80</v>
      </c>
      <c r="CT97" t="s">
        <v>701</v>
      </c>
      <c r="CU97">
        <v>0</v>
      </c>
      <c r="CV97">
        <v>0</v>
      </c>
      <c r="CW97">
        <v>65535</v>
      </c>
      <c r="CX97">
        <v>65535</v>
      </c>
      <c r="CY97" t="e">
        <v>#NUM!</v>
      </c>
      <c r="CZ97" t="e">
        <v>#NUM!</v>
      </c>
    </row>
    <row r="98" spans="1:104" x14ac:dyDescent="0.25">
      <c r="A98">
        <v>99</v>
      </c>
      <c r="B98" t="s">
        <v>42</v>
      </c>
      <c r="C98" t="s">
        <v>43</v>
      </c>
      <c r="D98" t="s">
        <v>36</v>
      </c>
      <c r="E98" t="s">
        <v>21</v>
      </c>
      <c r="F98" t="s">
        <v>22</v>
      </c>
      <c r="G98" t="s">
        <v>167</v>
      </c>
      <c r="H98">
        <v>2024</v>
      </c>
      <c r="I98">
        <v>4</v>
      </c>
      <c r="J98" t="s">
        <v>89</v>
      </c>
      <c r="K98" t="s">
        <v>48</v>
      </c>
      <c r="L98" t="s">
        <v>26</v>
      </c>
      <c r="M98">
        <v>0</v>
      </c>
      <c r="N98">
        <v>8</v>
      </c>
      <c r="O98">
        <v>1</v>
      </c>
      <c r="P98">
        <v>3</v>
      </c>
      <c r="Q98">
        <v>82</v>
      </c>
      <c r="R98">
        <v>4</v>
      </c>
      <c r="AL98">
        <v>99</v>
      </c>
      <c r="AM98" t="s">
        <v>565</v>
      </c>
      <c r="AN98" t="s">
        <v>468</v>
      </c>
      <c r="AO98">
        <v>4.3452813582070648E-2</v>
      </c>
      <c r="AP98" t="str">
        <f t="shared" si="10"/>
        <v/>
      </c>
      <c r="AQ98" t="str">
        <f t="shared" si="11"/>
        <v>F</v>
      </c>
      <c r="AV98">
        <v>97</v>
      </c>
      <c r="AW98" t="s">
        <v>578</v>
      </c>
      <c r="AZ98">
        <v>97</v>
      </c>
      <c r="BA98" t="s">
        <v>578</v>
      </c>
      <c r="BB98" t="s">
        <v>577</v>
      </c>
      <c r="BC98" t="str">
        <f t="shared" si="12"/>
        <v>HEADTAIL</v>
      </c>
      <c r="BG98">
        <v>97</v>
      </c>
      <c r="BH98">
        <v>4</v>
      </c>
      <c r="BM98">
        <v>97</v>
      </c>
      <c r="BN98" t="s">
        <v>36</v>
      </c>
      <c r="BO98" t="s">
        <v>595</v>
      </c>
      <c r="BV98">
        <v>97</v>
      </c>
      <c r="BW98" t="s">
        <v>36</v>
      </c>
      <c r="BX98">
        <v>4</v>
      </c>
      <c r="CC98" t="s">
        <v>43</v>
      </c>
      <c r="CD98">
        <v>76</v>
      </c>
      <c r="CT98" t="s">
        <v>702</v>
      </c>
      <c r="CU98">
        <v>4118.2272727272721</v>
      </c>
      <c r="CV98">
        <v>1</v>
      </c>
      <c r="CW98">
        <v>4118.2272727272721</v>
      </c>
      <c r="CX98">
        <v>835.80258302583002</v>
      </c>
      <c r="CY98">
        <v>8.6541891219570198E-18</v>
      </c>
      <c r="CZ98">
        <v>4.3512435033292896</v>
      </c>
    </row>
    <row r="99" spans="1:104" x14ac:dyDescent="0.25">
      <c r="A99">
        <v>100</v>
      </c>
      <c r="B99" t="s">
        <v>65</v>
      </c>
      <c r="C99" t="s">
        <v>66</v>
      </c>
      <c r="D99" t="s">
        <v>36</v>
      </c>
      <c r="E99" t="s">
        <v>54</v>
      </c>
      <c r="F99" t="s">
        <v>38</v>
      </c>
      <c r="G99" t="s">
        <v>168</v>
      </c>
      <c r="H99">
        <v>2025</v>
      </c>
      <c r="I99">
        <v>2</v>
      </c>
      <c r="J99" t="s">
        <v>84</v>
      </c>
      <c r="K99" t="s">
        <v>41</v>
      </c>
      <c r="L99" t="s">
        <v>61</v>
      </c>
      <c r="M99">
        <v>0</v>
      </c>
      <c r="N99">
        <v>8</v>
      </c>
      <c r="O99">
        <v>0</v>
      </c>
      <c r="P99">
        <v>0</v>
      </c>
      <c r="Q99">
        <v>0</v>
      </c>
      <c r="R99">
        <v>0</v>
      </c>
      <c r="AL99">
        <v>100</v>
      </c>
      <c r="AM99" t="s">
        <v>566</v>
      </c>
      <c r="AN99" t="s">
        <v>468</v>
      </c>
      <c r="AO99">
        <v>2.3528576825188052E-2</v>
      </c>
      <c r="AP99" t="str">
        <f t="shared" si="10"/>
        <v/>
      </c>
      <c r="AQ99" t="str">
        <f t="shared" si="11"/>
        <v>F</v>
      </c>
      <c r="AV99">
        <v>98</v>
      </c>
      <c r="AW99" t="s">
        <v>578</v>
      </c>
      <c r="AZ99">
        <v>98</v>
      </c>
      <c r="BA99" t="s">
        <v>577</v>
      </c>
      <c r="BB99" t="s">
        <v>578</v>
      </c>
      <c r="BC99" t="str">
        <f t="shared" si="12"/>
        <v>TAILHEAD</v>
      </c>
      <c r="BG99">
        <v>98</v>
      </c>
      <c r="BH99">
        <v>3</v>
      </c>
      <c r="BM99">
        <v>98</v>
      </c>
      <c r="BN99" t="s">
        <v>36</v>
      </c>
      <c r="BO99" t="s">
        <v>594</v>
      </c>
      <c r="BV99">
        <v>98</v>
      </c>
      <c r="BW99" t="s">
        <v>36</v>
      </c>
      <c r="BX99">
        <v>4</v>
      </c>
      <c r="CC99" t="s">
        <v>66</v>
      </c>
      <c r="CD99">
        <v>90</v>
      </c>
      <c r="CT99" t="s">
        <v>703</v>
      </c>
      <c r="CU99">
        <v>3.979039320256561E-13</v>
      </c>
      <c r="CV99">
        <v>0</v>
      </c>
      <c r="CW99">
        <v>65535</v>
      </c>
      <c r="CX99">
        <v>65535</v>
      </c>
      <c r="CY99" t="e">
        <v>#NUM!</v>
      </c>
      <c r="CZ99" t="e">
        <v>#NUM!</v>
      </c>
    </row>
    <row r="100" spans="1:104" x14ac:dyDescent="0.25">
      <c r="A100">
        <v>101</v>
      </c>
      <c r="B100" t="s">
        <v>42</v>
      </c>
      <c r="C100" t="s">
        <v>43</v>
      </c>
      <c r="D100" t="s">
        <v>36</v>
      </c>
      <c r="E100" t="s">
        <v>29</v>
      </c>
      <c r="F100" t="s">
        <v>22</v>
      </c>
      <c r="G100" t="s">
        <v>169</v>
      </c>
      <c r="H100">
        <v>2024</v>
      </c>
      <c r="I100">
        <v>11</v>
      </c>
      <c r="J100" t="s">
        <v>74</v>
      </c>
      <c r="K100" t="s">
        <v>52</v>
      </c>
      <c r="L100" t="s">
        <v>33</v>
      </c>
      <c r="M100">
        <v>0</v>
      </c>
      <c r="N100">
        <v>8</v>
      </c>
      <c r="O100">
        <v>1</v>
      </c>
      <c r="P100">
        <v>3</v>
      </c>
      <c r="Q100">
        <v>73</v>
      </c>
      <c r="R100">
        <v>3</v>
      </c>
      <c r="AV100">
        <v>99</v>
      </c>
      <c r="AW100" t="s">
        <v>577</v>
      </c>
      <c r="AZ100">
        <v>99</v>
      </c>
      <c r="BG100">
        <v>99</v>
      </c>
      <c r="BM100">
        <v>99</v>
      </c>
      <c r="BV100">
        <v>99</v>
      </c>
      <c r="CC100" t="s">
        <v>43</v>
      </c>
      <c r="CD100">
        <v>74</v>
      </c>
      <c r="CT100" t="s">
        <v>704</v>
      </c>
      <c r="CU100">
        <v>98.545454545454561</v>
      </c>
      <c r="CV100">
        <v>20</v>
      </c>
      <c r="CW100">
        <v>4.9272727272727277</v>
      </c>
    </row>
    <row r="101" spans="1:104" x14ac:dyDescent="0.25">
      <c r="A101">
        <v>102</v>
      </c>
      <c r="B101" t="s">
        <v>65</v>
      </c>
      <c r="C101" t="s">
        <v>66</v>
      </c>
      <c r="D101" t="s">
        <v>36</v>
      </c>
      <c r="E101" t="s">
        <v>21</v>
      </c>
      <c r="F101" t="s">
        <v>38</v>
      </c>
      <c r="G101" t="s">
        <v>170</v>
      </c>
      <c r="H101">
        <v>2025</v>
      </c>
      <c r="I101">
        <v>9</v>
      </c>
      <c r="J101" t="s">
        <v>24</v>
      </c>
      <c r="K101" t="s">
        <v>25</v>
      </c>
      <c r="L101" t="s">
        <v>53</v>
      </c>
      <c r="M101">
        <v>1</v>
      </c>
      <c r="N101">
        <v>8</v>
      </c>
      <c r="O101">
        <v>1</v>
      </c>
      <c r="P101">
        <v>0</v>
      </c>
      <c r="Q101">
        <v>88</v>
      </c>
      <c r="R101">
        <v>8</v>
      </c>
      <c r="AV101">
        <v>100</v>
      </c>
      <c r="AW101" t="s">
        <v>577</v>
      </c>
      <c r="AZ101">
        <v>100</v>
      </c>
      <c r="BG101">
        <v>100</v>
      </c>
      <c r="BM101">
        <v>100</v>
      </c>
      <c r="BV101">
        <v>100</v>
      </c>
      <c r="CC101" t="s">
        <v>66</v>
      </c>
      <c r="CD101">
        <v>94</v>
      </c>
    </row>
    <row r="102" spans="1:104" x14ac:dyDescent="0.25">
      <c r="A102">
        <v>103</v>
      </c>
      <c r="B102" t="s">
        <v>65</v>
      </c>
      <c r="C102" t="s">
        <v>66</v>
      </c>
      <c r="D102" t="s">
        <v>36</v>
      </c>
      <c r="E102" t="s">
        <v>21</v>
      </c>
      <c r="F102" t="s">
        <v>38</v>
      </c>
      <c r="G102" t="s">
        <v>144</v>
      </c>
      <c r="H102">
        <v>2025</v>
      </c>
      <c r="I102">
        <v>6</v>
      </c>
      <c r="J102" t="s">
        <v>76</v>
      </c>
      <c r="K102" t="s">
        <v>48</v>
      </c>
      <c r="L102" t="s">
        <v>26</v>
      </c>
      <c r="M102">
        <v>0</v>
      </c>
      <c r="N102">
        <v>8</v>
      </c>
      <c r="O102">
        <v>0</v>
      </c>
      <c r="P102">
        <v>0</v>
      </c>
      <c r="Q102">
        <v>0</v>
      </c>
      <c r="R102">
        <v>0</v>
      </c>
      <c r="AV102">
        <v>101</v>
      </c>
      <c r="AW102" t="s">
        <v>578</v>
      </c>
      <c r="CC102" t="s">
        <v>66</v>
      </c>
      <c r="CD102">
        <v>79</v>
      </c>
      <c r="CT102" t="s">
        <v>699</v>
      </c>
      <c r="CU102">
        <v>4216.772727272727</v>
      </c>
      <c r="CV102">
        <v>21</v>
      </c>
    </row>
    <row r="103" spans="1:104" x14ac:dyDescent="0.25">
      <c r="A103">
        <v>104</v>
      </c>
      <c r="B103" t="s">
        <v>122</v>
      </c>
      <c r="C103" t="s">
        <v>123</v>
      </c>
      <c r="D103" t="s">
        <v>20</v>
      </c>
      <c r="E103" t="s">
        <v>21</v>
      </c>
      <c r="F103" t="s">
        <v>71</v>
      </c>
      <c r="G103" t="s">
        <v>171</v>
      </c>
      <c r="H103">
        <v>2024</v>
      </c>
      <c r="I103">
        <v>8</v>
      </c>
      <c r="J103" t="s">
        <v>107</v>
      </c>
      <c r="K103" t="s">
        <v>25</v>
      </c>
      <c r="L103" t="s">
        <v>53</v>
      </c>
      <c r="M103">
        <v>1</v>
      </c>
      <c r="N103">
        <v>8</v>
      </c>
      <c r="O103">
        <v>0</v>
      </c>
      <c r="P103">
        <v>0</v>
      </c>
      <c r="Q103">
        <v>0</v>
      </c>
      <c r="R103">
        <v>0</v>
      </c>
      <c r="AV103">
        <v>102</v>
      </c>
      <c r="AW103" t="s">
        <v>578</v>
      </c>
      <c r="CC103" t="s">
        <v>123</v>
      </c>
      <c r="CD103">
        <v>82</v>
      </c>
    </row>
    <row r="104" spans="1:104" x14ac:dyDescent="0.25">
      <c r="A104">
        <v>105</v>
      </c>
      <c r="B104" t="s">
        <v>65</v>
      </c>
      <c r="C104" t="s">
        <v>66</v>
      </c>
      <c r="D104" t="s">
        <v>36</v>
      </c>
      <c r="E104" t="s">
        <v>54</v>
      </c>
      <c r="F104" t="s">
        <v>38</v>
      </c>
      <c r="G104" t="s">
        <v>172</v>
      </c>
      <c r="H104">
        <v>2024</v>
      </c>
      <c r="I104">
        <v>4</v>
      </c>
      <c r="J104" t="s">
        <v>89</v>
      </c>
      <c r="K104" t="s">
        <v>48</v>
      </c>
      <c r="L104" t="s">
        <v>26</v>
      </c>
      <c r="M104">
        <v>0</v>
      </c>
      <c r="N104">
        <v>8</v>
      </c>
      <c r="O104">
        <v>1</v>
      </c>
      <c r="P104">
        <v>0</v>
      </c>
      <c r="Q104">
        <v>83</v>
      </c>
      <c r="R104">
        <v>7</v>
      </c>
      <c r="AV104">
        <v>103</v>
      </c>
      <c r="AW104" t="s">
        <v>577</v>
      </c>
      <c r="CC104" t="s">
        <v>66</v>
      </c>
      <c r="CD104">
        <v>88</v>
      </c>
    </row>
    <row r="105" spans="1:104" x14ac:dyDescent="0.25">
      <c r="A105">
        <v>106</v>
      </c>
      <c r="B105" t="s">
        <v>57</v>
      </c>
      <c r="C105" t="s">
        <v>58</v>
      </c>
      <c r="D105" t="s">
        <v>36</v>
      </c>
      <c r="E105" t="s">
        <v>37</v>
      </c>
      <c r="F105" t="s">
        <v>59</v>
      </c>
      <c r="G105" t="s">
        <v>173</v>
      </c>
      <c r="H105">
        <v>2025</v>
      </c>
      <c r="I105">
        <v>7</v>
      </c>
      <c r="J105" t="s">
        <v>32</v>
      </c>
      <c r="K105" t="s">
        <v>25</v>
      </c>
      <c r="L105" t="s">
        <v>61</v>
      </c>
      <c r="M105">
        <v>0</v>
      </c>
      <c r="N105">
        <v>8</v>
      </c>
      <c r="O105">
        <v>1</v>
      </c>
      <c r="P105">
        <v>0</v>
      </c>
      <c r="Q105">
        <v>95</v>
      </c>
      <c r="R105">
        <v>7</v>
      </c>
      <c r="AV105">
        <v>104</v>
      </c>
      <c r="AW105" t="s">
        <v>577</v>
      </c>
      <c r="CC105" t="s">
        <v>58</v>
      </c>
      <c r="CD105">
        <v>75</v>
      </c>
    </row>
    <row r="106" spans="1:104" x14ac:dyDescent="0.25">
      <c r="A106">
        <v>107</v>
      </c>
      <c r="B106" t="s">
        <v>65</v>
      </c>
      <c r="C106" t="s">
        <v>66</v>
      </c>
      <c r="D106" t="s">
        <v>36</v>
      </c>
      <c r="E106" t="s">
        <v>49</v>
      </c>
      <c r="F106" t="s">
        <v>38</v>
      </c>
      <c r="G106" t="s">
        <v>174</v>
      </c>
      <c r="H106">
        <v>2024</v>
      </c>
      <c r="I106">
        <v>5</v>
      </c>
      <c r="J106" t="s">
        <v>47</v>
      </c>
      <c r="K106" t="s">
        <v>48</v>
      </c>
      <c r="L106" t="s">
        <v>33</v>
      </c>
      <c r="M106">
        <v>0</v>
      </c>
      <c r="N106">
        <v>8</v>
      </c>
      <c r="O106">
        <v>0</v>
      </c>
      <c r="P106">
        <v>0</v>
      </c>
      <c r="Q106">
        <v>0</v>
      </c>
      <c r="R106">
        <v>0</v>
      </c>
      <c r="AV106">
        <v>105</v>
      </c>
      <c r="AW106" t="s">
        <v>577</v>
      </c>
      <c r="CC106" t="s">
        <v>66</v>
      </c>
      <c r="CD106">
        <v>85</v>
      </c>
    </row>
    <row r="107" spans="1:104" x14ac:dyDescent="0.25">
      <c r="A107">
        <v>108</v>
      </c>
      <c r="B107" t="s">
        <v>62</v>
      </c>
      <c r="C107" t="s">
        <v>63</v>
      </c>
      <c r="D107" t="s">
        <v>20</v>
      </c>
      <c r="E107" t="s">
        <v>54</v>
      </c>
      <c r="F107" t="s">
        <v>38</v>
      </c>
      <c r="G107" t="s">
        <v>175</v>
      </c>
      <c r="H107">
        <v>2025</v>
      </c>
      <c r="I107">
        <v>10</v>
      </c>
      <c r="J107" t="s">
        <v>105</v>
      </c>
      <c r="K107" t="s">
        <v>52</v>
      </c>
      <c r="L107" t="s">
        <v>61</v>
      </c>
      <c r="M107">
        <v>0</v>
      </c>
      <c r="N107">
        <v>8</v>
      </c>
      <c r="O107">
        <v>0</v>
      </c>
      <c r="P107">
        <v>0</v>
      </c>
      <c r="Q107">
        <v>0</v>
      </c>
      <c r="R107">
        <v>0</v>
      </c>
      <c r="AV107">
        <v>106</v>
      </c>
      <c r="AW107" t="s">
        <v>578</v>
      </c>
      <c r="CC107" t="s">
        <v>63</v>
      </c>
      <c r="CD107">
        <v>69</v>
      </c>
    </row>
    <row r="108" spans="1:104" x14ac:dyDescent="0.25">
      <c r="A108">
        <v>109</v>
      </c>
      <c r="B108" t="s">
        <v>42</v>
      </c>
      <c r="C108" t="s">
        <v>43</v>
      </c>
      <c r="D108" t="s">
        <v>36</v>
      </c>
      <c r="E108" t="s">
        <v>49</v>
      </c>
      <c r="F108" t="s">
        <v>22</v>
      </c>
      <c r="G108" t="s">
        <v>176</v>
      </c>
      <c r="H108">
        <v>2025</v>
      </c>
      <c r="I108">
        <v>2</v>
      </c>
      <c r="J108" t="s">
        <v>84</v>
      </c>
      <c r="K108" t="s">
        <v>41</v>
      </c>
      <c r="L108" t="s">
        <v>61</v>
      </c>
      <c r="M108">
        <v>0</v>
      </c>
      <c r="N108">
        <v>8</v>
      </c>
      <c r="O108">
        <v>0</v>
      </c>
      <c r="P108">
        <v>0</v>
      </c>
      <c r="Q108">
        <v>0</v>
      </c>
      <c r="R108">
        <v>0</v>
      </c>
      <c r="AV108">
        <v>107</v>
      </c>
      <c r="AW108" t="s">
        <v>578</v>
      </c>
      <c r="CC108" t="s">
        <v>43</v>
      </c>
      <c r="CD108">
        <v>72</v>
      </c>
    </row>
    <row r="109" spans="1:104" x14ac:dyDescent="0.25">
      <c r="A109">
        <v>110</v>
      </c>
      <c r="B109" t="s">
        <v>79</v>
      </c>
      <c r="C109" t="s">
        <v>80</v>
      </c>
      <c r="D109" t="s">
        <v>20</v>
      </c>
      <c r="E109" t="s">
        <v>37</v>
      </c>
      <c r="F109" t="s">
        <v>81</v>
      </c>
      <c r="G109" t="s">
        <v>177</v>
      </c>
      <c r="H109">
        <v>2024</v>
      </c>
      <c r="I109">
        <v>11</v>
      </c>
      <c r="J109" t="s">
        <v>74</v>
      </c>
      <c r="K109" t="s">
        <v>52</v>
      </c>
      <c r="L109" t="s">
        <v>61</v>
      </c>
      <c r="M109">
        <v>0</v>
      </c>
      <c r="N109">
        <v>8</v>
      </c>
      <c r="O109">
        <v>1</v>
      </c>
      <c r="P109">
        <v>1</v>
      </c>
      <c r="Q109">
        <v>61</v>
      </c>
      <c r="R109">
        <v>4</v>
      </c>
      <c r="AV109">
        <v>108</v>
      </c>
      <c r="AW109" t="s">
        <v>578</v>
      </c>
      <c r="CC109" t="s">
        <v>80</v>
      </c>
      <c r="CD109">
        <v>68</v>
      </c>
    </row>
    <row r="110" spans="1:104" x14ac:dyDescent="0.25">
      <c r="A110">
        <v>111</v>
      </c>
      <c r="B110" t="s">
        <v>122</v>
      </c>
      <c r="C110" t="s">
        <v>123</v>
      </c>
      <c r="D110" t="s">
        <v>20</v>
      </c>
      <c r="E110" t="s">
        <v>29</v>
      </c>
      <c r="F110" t="s">
        <v>71</v>
      </c>
      <c r="G110" t="s">
        <v>178</v>
      </c>
      <c r="H110">
        <v>2024</v>
      </c>
      <c r="I110">
        <v>1</v>
      </c>
      <c r="J110" t="s">
        <v>68</v>
      </c>
      <c r="K110" t="s">
        <v>41</v>
      </c>
      <c r="L110" t="s">
        <v>85</v>
      </c>
      <c r="M110">
        <v>0</v>
      </c>
      <c r="N110">
        <v>8</v>
      </c>
      <c r="O110">
        <v>1</v>
      </c>
      <c r="P110">
        <v>2</v>
      </c>
      <c r="Q110">
        <v>86</v>
      </c>
      <c r="R110">
        <v>1</v>
      </c>
      <c r="AV110">
        <v>109</v>
      </c>
      <c r="AW110" t="s">
        <v>577</v>
      </c>
      <c r="CC110" t="s">
        <v>123</v>
      </c>
      <c r="CD110">
        <v>78</v>
      </c>
    </row>
    <row r="111" spans="1:104" x14ac:dyDescent="0.25">
      <c r="A111">
        <v>112</v>
      </c>
      <c r="B111" t="s">
        <v>62</v>
      </c>
      <c r="C111" t="s">
        <v>63</v>
      </c>
      <c r="D111" t="s">
        <v>20</v>
      </c>
      <c r="E111" t="s">
        <v>49</v>
      </c>
      <c r="F111" t="s">
        <v>38</v>
      </c>
      <c r="G111" t="s">
        <v>179</v>
      </c>
      <c r="H111">
        <v>2025</v>
      </c>
      <c r="I111">
        <v>10</v>
      </c>
      <c r="J111" t="s">
        <v>105</v>
      </c>
      <c r="K111" t="s">
        <v>52</v>
      </c>
      <c r="L111" t="s">
        <v>77</v>
      </c>
      <c r="M111">
        <v>0</v>
      </c>
      <c r="N111">
        <v>8</v>
      </c>
      <c r="O111">
        <v>1</v>
      </c>
      <c r="P111">
        <v>0</v>
      </c>
      <c r="Q111">
        <v>64</v>
      </c>
      <c r="R111">
        <v>10</v>
      </c>
      <c r="AV111">
        <v>110</v>
      </c>
      <c r="AW111" t="s">
        <v>578</v>
      </c>
      <c r="CC111" t="s">
        <v>63</v>
      </c>
      <c r="CD111">
        <v>79</v>
      </c>
    </row>
    <row r="112" spans="1:104" x14ac:dyDescent="0.25">
      <c r="A112">
        <v>113</v>
      </c>
      <c r="B112" t="s">
        <v>34</v>
      </c>
      <c r="C112" t="s">
        <v>35</v>
      </c>
      <c r="D112" t="s">
        <v>36</v>
      </c>
      <c r="E112" t="s">
        <v>29</v>
      </c>
      <c r="F112" t="s">
        <v>38</v>
      </c>
      <c r="G112" t="s">
        <v>180</v>
      </c>
      <c r="H112">
        <v>2024</v>
      </c>
      <c r="I112">
        <v>8</v>
      </c>
      <c r="J112" t="s">
        <v>107</v>
      </c>
      <c r="K112" t="s">
        <v>25</v>
      </c>
      <c r="L112" t="s">
        <v>45</v>
      </c>
      <c r="M112">
        <v>1</v>
      </c>
      <c r="N112">
        <v>8</v>
      </c>
      <c r="O112">
        <v>0</v>
      </c>
      <c r="P112">
        <v>0</v>
      </c>
      <c r="Q112">
        <v>0</v>
      </c>
      <c r="R112">
        <v>0</v>
      </c>
      <c r="AV112">
        <v>111</v>
      </c>
      <c r="AW112" t="s">
        <v>578</v>
      </c>
      <c r="CC112" t="s">
        <v>35</v>
      </c>
      <c r="CD112">
        <v>95</v>
      </c>
    </row>
    <row r="113" spans="1:82" x14ac:dyDescent="0.25">
      <c r="A113">
        <v>114</v>
      </c>
      <c r="B113" t="s">
        <v>34</v>
      </c>
      <c r="C113" t="s">
        <v>35</v>
      </c>
      <c r="D113" t="s">
        <v>36</v>
      </c>
      <c r="E113" t="s">
        <v>37</v>
      </c>
      <c r="F113" t="s">
        <v>38</v>
      </c>
      <c r="G113" t="s">
        <v>181</v>
      </c>
      <c r="H113">
        <v>2025</v>
      </c>
      <c r="I113">
        <v>6</v>
      </c>
      <c r="J113" t="s">
        <v>76</v>
      </c>
      <c r="K113" t="s">
        <v>48</v>
      </c>
      <c r="L113" t="s">
        <v>61</v>
      </c>
      <c r="M113">
        <v>0</v>
      </c>
      <c r="N113">
        <v>8</v>
      </c>
      <c r="O113">
        <v>1</v>
      </c>
      <c r="P113">
        <v>0</v>
      </c>
      <c r="Q113">
        <v>65</v>
      </c>
      <c r="R113">
        <v>10</v>
      </c>
      <c r="AV113">
        <v>112</v>
      </c>
      <c r="AW113" t="s">
        <v>578</v>
      </c>
      <c r="CC113" t="s">
        <v>35</v>
      </c>
      <c r="CD113">
        <v>92</v>
      </c>
    </row>
    <row r="114" spans="1:82" x14ac:dyDescent="0.25">
      <c r="A114">
        <v>115</v>
      </c>
      <c r="B114" t="s">
        <v>122</v>
      </c>
      <c r="C114" t="s">
        <v>123</v>
      </c>
      <c r="D114" t="s">
        <v>20</v>
      </c>
      <c r="E114" t="s">
        <v>21</v>
      </c>
      <c r="F114" t="s">
        <v>71</v>
      </c>
      <c r="G114" t="s">
        <v>182</v>
      </c>
      <c r="H114">
        <v>2025</v>
      </c>
      <c r="I114">
        <v>7</v>
      </c>
      <c r="J114" t="s">
        <v>32</v>
      </c>
      <c r="K114" t="s">
        <v>25</v>
      </c>
      <c r="L114" t="s">
        <v>33</v>
      </c>
      <c r="M114">
        <v>0</v>
      </c>
      <c r="N114">
        <v>8</v>
      </c>
      <c r="O114">
        <v>0</v>
      </c>
      <c r="P114">
        <v>0</v>
      </c>
      <c r="Q114">
        <v>0</v>
      </c>
      <c r="R114">
        <v>0</v>
      </c>
      <c r="AV114">
        <v>113</v>
      </c>
      <c r="AW114" t="s">
        <v>578</v>
      </c>
      <c r="CC114" t="s">
        <v>123</v>
      </c>
      <c r="CD114">
        <v>95</v>
      </c>
    </row>
    <row r="115" spans="1:82" x14ac:dyDescent="0.25">
      <c r="A115">
        <v>116</v>
      </c>
      <c r="B115" t="s">
        <v>69</v>
      </c>
      <c r="C115" t="s">
        <v>70</v>
      </c>
      <c r="D115" t="s">
        <v>36</v>
      </c>
      <c r="E115" t="s">
        <v>21</v>
      </c>
      <c r="F115" t="s">
        <v>71</v>
      </c>
      <c r="G115" t="s">
        <v>183</v>
      </c>
      <c r="H115">
        <v>2024</v>
      </c>
      <c r="I115">
        <v>2</v>
      </c>
      <c r="J115" t="s">
        <v>84</v>
      </c>
      <c r="K115" t="s">
        <v>41</v>
      </c>
      <c r="L115" t="s">
        <v>61</v>
      </c>
      <c r="M115">
        <v>0</v>
      </c>
      <c r="N115">
        <v>8</v>
      </c>
      <c r="O115">
        <v>1</v>
      </c>
      <c r="P115">
        <v>3</v>
      </c>
      <c r="Q115">
        <v>89</v>
      </c>
      <c r="R115">
        <v>4</v>
      </c>
      <c r="AV115">
        <v>114</v>
      </c>
      <c r="AW115" t="s">
        <v>578</v>
      </c>
      <c r="CC115" t="s">
        <v>70</v>
      </c>
      <c r="CD115">
        <v>68</v>
      </c>
    </row>
    <row r="116" spans="1:82" x14ac:dyDescent="0.25">
      <c r="A116">
        <v>117</v>
      </c>
      <c r="B116" t="s">
        <v>42</v>
      </c>
      <c r="C116" t="s">
        <v>43</v>
      </c>
      <c r="D116" t="s">
        <v>36</v>
      </c>
      <c r="E116" t="s">
        <v>37</v>
      </c>
      <c r="F116" t="s">
        <v>22</v>
      </c>
      <c r="G116" t="s">
        <v>184</v>
      </c>
      <c r="H116">
        <v>2025</v>
      </c>
      <c r="I116">
        <v>11</v>
      </c>
      <c r="J116" t="s">
        <v>74</v>
      </c>
      <c r="K116" t="s">
        <v>52</v>
      </c>
      <c r="L116" t="s">
        <v>26</v>
      </c>
      <c r="M116">
        <v>0</v>
      </c>
      <c r="N116">
        <v>8</v>
      </c>
      <c r="O116">
        <v>0</v>
      </c>
      <c r="P116">
        <v>0</v>
      </c>
      <c r="Q116">
        <v>0</v>
      </c>
      <c r="R116">
        <v>0</v>
      </c>
      <c r="AV116">
        <v>115</v>
      </c>
      <c r="AW116" t="s">
        <v>578</v>
      </c>
      <c r="CC116" t="s">
        <v>43</v>
      </c>
      <c r="CD116">
        <v>92</v>
      </c>
    </row>
    <row r="117" spans="1:82" x14ac:dyDescent="0.25">
      <c r="A117">
        <v>118</v>
      </c>
      <c r="B117" t="s">
        <v>34</v>
      </c>
      <c r="C117" t="s">
        <v>35</v>
      </c>
      <c r="D117" t="s">
        <v>36</v>
      </c>
      <c r="E117" t="s">
        <v>54</v>
      </c>
      <c r="F117" t="s">
        <v>38</v>
      </c>
      <c r="G117" t="s">
        <v>185</v>
      </c>
      <c r="H117">
        <v>2025</v>
      </c>
      <c r="I117">
        <v>11</v>
      </c>
      <c r="J117" t="s">
        <v>74</v>
      </c>
      <c r="K117" t="s">
        <v>52</v>
      </c>
      <c r="L117" t="s">
        <v>85</v>
      </c>
      <c r="M117">
        <v>0</v>
      </c>
      <c r="N117">
        <v>8</v>
      </c>
      <c r="O117">
        <v>0</v>
      </c>
      <c r="P117">
        <v>0</v>
      </c>
      <c r="Q117">
        <v>0</v>
      </c>
      <c r="R117">
        <v>0</v>
      </c>
      <c r="AV117">
        <v>116</v>
      </c>
      <c r="AW117" t="s">
        <v>577</v>
      </c>
      <c r="CC117" t="s">
        <v>35</v>
      </c>
      <c r="CD117">
        <v>92</v>
      </c>
    </row>
    <row r="118" spans="1:82" x14ac:dyDescent="0.25">
      <c r="A118">
        <v>119</v>
      </c>
      <c r="B118" t="s">
        <v>69</v>
      </c>
      <c r="C118" t="s">
        <v>70</v>
      </c>
      <c r="D118" t="s">
        <v>36</v>
      </c>
      <c r="E118" t="s">
        <v>29</v>
      </c>
      <c r="F118" t="s">
        <v>71</v>
      </c>
      <c r="G118" t="s">
        <v>186</v>
      </c>
      <c r="H118">
        <v>2024</v>
      </c>
      <c r="I118">
        <v>6</v>
      </c>
      <c r="J118" t="s">
        <v>76</v>
      </c>
      <c r="K118" t="s">
        <v>48</v>
      </c>
      <c r="L118" t="s">
        <v>33</v>
      </c>
      <c r="M118">
        <v>0</v>
      </c>
      <c r="N118">
        <v>8</v>
      </c>
      <c r="O118">
        <v>1</v>
      </c>
      <c r="P118">
        <v>1</v>
      </c>
      <c r="Q118">
        <v>85</v>
      </c>
      <c r="R118">
        <v>4</v>
      </c>
      <c r="AV118">
        <v>117</v>
      </c>
      <c r="AW118" t="s">
        <v>577</v>
      </c>
      <c r="CC118" t="s">
        <v>70</v>
      </c>
      <c r="CD118">
        <v>65</v>
      </c>
    </row>
    <row r="119" spans="1:82" x14ac:dyDescent="0.25">
      <c r="A119">
        <v>120</v>
      </c>
      <c r="B119" t="s">
        <v>65</v>
      </c>
      <c r="C119" t="s">
        <v>66</v>
      </c>
      <c r="D119" t="s">
        <v>36</v>
      </c>
      <c r="E119" t="s">
        <v>21</v>
      </c>
      <c r="F119" t="s">
        <v>38</v>
      </c>
      <c r="G119" t="s">
        <v>187</v>
      </c>
      <c r="H119">
        <v>2025</v>
      </c>
      <c r="I119">
        <v>12</v>
      </c>
      <c r="J119" t="s">
        <v>51</v>
      </c>
      <c r="K119" t="s">
        <v>52</v>
      </c>
      <c r="L119" t="s">
        <v>61</v>
      </c>
      <c r="M119">
        <v>0</v>
      </c>
      <c r="N119">
        <v>8</v>
      </c>
      <c r="O119">
        <v>0</v>
      </c>
      <c r="P119">
        <v>0</v>
      </c>
      <c r="Q119">
        <v>0</v>
      </c>
      <c r="R119">
        <v>0</v>
      </c>
      <c r="AV119">
        <v>118</v>
      </c>
      <c r="AW119" t="s">
        <v>578</v>
      </c>
      <c r="CC119" t="s">
        <v>66</v>
      </c>
      <c r="CD119">
        <v>68</v>
      </c>
    </row>
    <row r="120" spans="1:82" x14ac:dyDescent="0.25">
      <c r="A120">
        <v>121</v>
      </c>
      <c r="B120" t="s">
        <v>79</v>
      </c>
      <c r="C120" t="s">
        <v>80</v>
      </c>
      <c r="D120" t="s">
        <v>20</v>
      </c>
      <c r="E120" t="s">
        <v>49</v>
      </c>
      <c r="F120" t="s">
        <v>81</v>
      </c>
      <c r="G120" t="s">
        <v>188</v>
      </c>
      <c r="H120">
        <v>2025</v>
      </c>
      <c r="I120">
        <v>4</v>
      </c>
      <c r="J120" t="s">
        <v>89</v>
      </c>
      <c r="K120" t="s">
        <v>48</v>
      </c>
      <c r="L120" t="s">
        <v>85</v>
      </c>
      <c r="M120">
        <v>0</v>
      </c>
      <c r="N120">
        <v>8</v>
      </c>
      <c r="O120">
        <v>0</v>
      </c>
      <c r="P120">
        <v>0</v>
      </c>
      <c r="Q120">
        <v>0</v>
      </c>
      <c r="R120">
        <v>0</v>
      </c>
      <c r="AV120">
        <v>119</v>
      </c>
      <c r="AW120" t="s">
        <v>577</v>
      </c>
      <c r="CC120" t="s">
        <v>80</v>
      </c>
      <c r="CD120">
        <v>83</v>
      </c>
    </row>
    <row r="121" spans="1:82" x14ac:dyDescent="0.25">
      <c r="A121">
        <v>122</v>
      </c>
      <c r="B121" t="s">
        <v>27</v>
      </c>
      <c r="C121" t="s">
        <v>28</v>
      </c>
      <c r="D121" t="s">
        <v>20</v>
      </c>
      <c r="E121" t="s">
        <v>21</v>
      </c>
      <c r="F121" t="s">
        <v>30</v>
      </c>
      <c r="G121" t="s">
        <v>189</v>
      </c>
      <c r="H121">
        <v>2025</v>
      </c>
      <c r="I121">
        <v>6</v>
      </c>
      <c r="J121" t="s">
        <v>76</v>
      </c>
      <c r="K121" t="s">
        <v>48</v>
      </c>
      <c r="L121" t="s">
        <v>85</v>
      </c>
      <c r="M121">
        <v>0</v>
      </c>
      <c r="N121">
        <v>8</v>
      </c>
      <c r="O121">
        <v>1</v>
      </c>
      <c r="P121">
        <v>1</v>
      </c>
      <c r="Q121">
        <v>76</v>
      </c>
      <c r="R121">
        <v>3</v>
      </c>
      <c r="AV121">
        <v>120</v>
      </c>
      <c r="AW121" t="s">
        <v>577</v>
      </c>
      <c r="CC121" t="s">
        <v>28</v>
      </c>
      <c r="CD121">
        <v>75</v>
      </c>
    </row>
    <row r="122" spans="1:82" x14ac:dyDescent="0.25">
      <c r="A122">
        <v>123</v>
      </c>
      <c r="B122" t="s">
        <v>57</v>
      </c>
      <c r="C122" t="s">
        <v>58</v>
      </c>
      <c r="D122" t="s">
        <v>36</v>
      </c>
      <c r="E122" t="s">
        <v>37</v>
      </c>
      <c r="F122" t="s">
        <v>59</v>
      </c>
      <c r="G122" t="s">
        <v>174</v>
      </c>
      <c r="H122">
        <v>2024</v>
      </c>
      <c r="I122">
        <v>5</v>
      </c>
      <c r="J122" t="s">
        <v>47</v>
      </c>
      <c r="K122" t="s">
        <v>48</v>
      </c>
      <c r="L122" t="s">
        <v>33</v>
      </c>
      <c r="M122">
        <v>0</v>
      </c>
      <c r="N122">
        <v>8</v>
      </c>
      <c r="O122">
        <v>1</v>
      </c>
      <c r="P122">
        <v>2</v>
      </c>
      <c r="Q122">
        <v>82</v>
      </c>
      <c r="R122">
        <v>2</v>
      </c>
      <c r="AV122">
        <v>121</v>
      </c>
      <c r="AW122" t="s">
        <v>578</v>
      </c>
      <c r="CC122" t="s">
        <v>58</v>
      </c>
      <c r="CD122">
        <v>83</v>
      </c>
    </row>
    <row r="123" spans="1:82" x14ac:dyDescent="0.25">
      <c r="A123">
        <v>124</v>
      </c>
      <c r="B123" t="s">
        <v>69</v>
      </c>
      <c r="C123" t="s">
        <v>70</v>
      </c>
      <c r="D123" t="s">
        <v>36</v>
      </c>
      <c r="E123" t="s">
        <v>29</v>
      </c>
      <c r="F123" t="s">
        <v>71</v>
      </c>
      <c r="G123" t="s">
        <v>190</v>
      </c>
      <c r="H123">
        <v>2025</v>
      </c>
      <c r="I123">
        <v>10</v>
      </c>
      <c r="J123" t="s">
        <v>105</v>
      </c>
      <c r="K123" t="s">
        <v>52</v>
      </c>
      <c r="L123" t="s">
        <v>85</v>
      </c>
      <c r="M123">
        <v>0</v>
      </c>
      <c r="N123">
        <v>8</v>
      </c>
      <c r="O123">
        <v>1</v>
      </c>
      <c r="P123">
        <v>3</v>
      </c>
      <c r="Q123">
        <v>63</v>
      </c>
      <c r="R123">
        <v>10</v>
      </c>
      <c r="AV123">
        <v>122</v>
      </c>
      <c r="AW123" t="s">
        <v>577</v>
      </c>
      <c r="CC123" t="s">
        <v>70</v>
      </c>
      <c r="CD123">
        <v>60</v>
      </c>
    </row>
    <row r="124" spans="1:82" x14ac:dyDescent="0.25">
      <c r="A124">
        <v>125</v>
      </c>
      <c r="B124" t="s">
        <v>122</v>
      </c>
      <c r="C124" t="s">
        <v>123</v>
      </c>
      <c r="D124" t="s">
        <v>20</v>
      </c>
      <c r="E124" t="s">
        <v>21</v>
      </c>
      <c r="F124" t="s">
        <v>71</v>
      </c>
      <c r="G124" t="s">
        <v>191</v>
      </c>
      <c r="H124">
        <v>2024</v>
      </c>
      <c r="I124">
        <v>4</v>
      </c>
      <c r="J124" t="s">
        <v>89</v>
      </c>
      <c r="K124" t="s">
        <v>48</v>
      </c>
      <c r="L124" t="s">
        <v>77</v>
      </c>
      <c r="M124">
        <v>0</v>
      </c>
      <c r="N124">
        <v>8</v>
      </c>
      <c r="O124">
        <v>0</v>
      </c>
      <c r="P124">
        <v>0</v>
      </c>
      <c r="Q124">
        <v>0</v>
      </c>
      <c r="R124">
        <v>0</v>
      </c>
      <c r="AV124">
        <v>123</v>
      </c>
      <c r="AW124" t="s">
        <v>577</v>
      </c>
      <c r="CC124" t="s">
        <v>123</v>
      </c>
      <c r="CD124">
        <v>84</v>
      </c>
    </row>
    <row r="125" spans="1:82" x14ac:dyDescent="0.25">
      <c r="A125">
        <v>126</v>
      </c>
      <c r="B125" t="s">
        <v>69</v>
      </c>
      <c r="C125" t="s">
        <v>70</v>
      </c>
      <c r="D125" t="s">
        <v>36</v>
      </c>
      <c r="E125" t="s">
        <v>54</v>
      </c>
      <c r="F125" t="s">
        <v>71</v>
      </c>
      <c r="G125" t="s">
        <v>152</v>
      </c>
      <c r="H125">
        <v>2025</v>
      </c>
      <c r="I125">
        <v>3</v>
      </c>
      <c r="J125" t="s">
        <v>40</v>
      </c>
      <c r="K125" t="s">
        <v>41</v>
      </c>
      <c r="L125" t="s">
        <v>53</v>
      </c>
      <c r="M125">
        <v>1</v>
      </c>
      <c r="N125">
        <v>8</v>
      </c>
      <c r="O125">
        <v>0</v>
      </c>
      <c r="P125">
        <v>0</v>
      </c>
      <c r="Q125">
        <v>0</v>
      </c>
      <c r="R125">
        <v>0</v>
      </c>
      <c r="AV125">
        <v>124</v>
      </c>
      <c r="AW125" t="s">
        <v>578</v>
      </c>
      <c r="CC125" t="s">
        <v>70</v>
      </c>
      <c r="CD125">
        <v>89</v>
      </c>
    </row>
    <row r="126" spans="1:82" x14ac:dyDescent="0.25">
      <c r="A126">
        <v>127</v>
      </c>
      <c r="B126" t="s">
        <v>57</v>
      </c>
      <c r="C126" t="s">
        <v>58</v>
      </c>
      <c r="D126" t="s">
        <v>36</v>
      </c>
      <c r="E126" t="s">
        <v>49</v>
      </c>
      <c r="F126" t="s">
        <v>59</v>
      </c>
      <c r="G126" t="s">
        <v>157</v>
      </c>
      <c r="H126">
        <v>2024</v>
      </c>
      <c r="I126">
        <v>3</v>
      </c>
      <c r="J126" t="s">
        <v>40</v>
      </c>
      <c r="K126" t="s">
        <v>41</v>
      </c>
      <c r="L126" t="s">
        <v>53</v>
      </c>
      <c r="M126">
        <v>1</v>
      </c>
      <c r="N126">
        <v>8</v>
      </c>
      <c r="O126">
        <v>0</v>
      </c>
      <c r="P126">
        <v>0</v>
      </c>
      <c r="Q126">
        <v>0</v>
      </c>
      <c r="R126">
        <v>0</v>
      </c>
      <c r="AV126">
        <v>125</v>
      </c>
      <c r="AW126" t="s">
        <v>578</v>
      </c>
      <c r="CC126" t="s">
        <v>58</v>
      </c>
      <c r="CD126">
        <v>70</v>
      </c>
    </row>
    <row r="127" spans="1:82" x14ac:dyDescent="0.25">
      <c r="A127">
        <v>128</v>
      </c>
      <c r="B127" t="s">
        <v>42</v>
      </c>
      <c r="C127" t="s">
        <v>43</v>
      </c>
      <c r="D127" t="s">
        <v>36</v>
      </c>
      <c r="E127" t="s">
        <v>37</v>
      </c>
      <c r="F127" t="s">
        <v>22</v>
      </c>
      <c r="G127" t="s">
        <v>168</v>
      </c>
      <c r="H127">
        <v>2025</v>
      </c>
      <c r="I127">
        <v>2</v>
      </c>
      <c r="J127" t="s">
        <v>84</v>
      </c>
      <c r="K127" t="s">
        <v>41</v>
      </c>
      <c r="L127" t="s">
        <v>61</v>
      </c>
      <c r="M127">
        <v>0</v>
      </c>
      <c r="N127">
        <v>8</v>
      </c>
      <c r="O127">
        <v>1</v>
      </c>
      <c r="P127">
        <v>3</v>
      </c>
      <c r="Q127">
        <v>76</v>
      </c>
      <c r="R127">
        <v>4</v>
      </c>
      <c r="AV127">
        <v>126</v>
      </c>
      <c r="AW127" t="s">
        <v>578</v>
      </c>
      <c r="CC127" t="s">
        <v>43</v>
      </c>
      <c r="CD127">
        <v>89</v>
      </c>
    </row>
    <row r="128" spans="1:82" x14ac:dyDescent="0.25">
      <c r="A128">
        <v>129</v>
      </c>
      <c r="B128" t="s">
        <v>57</v>
      </c>
      <c r="C128" t="s">
        <v>58</v>
      </c>
      <c r="D128" t="s">
        <v>36</v>
      </c>
      <c r="E128" t="s">
        <v>54</v>
      </c>
      <c r="F128" t="s">
        <v>59</v>
      </c>
      <c r="G128" t="s">
        <v>192</v>
      </c>
      <c r="H128">
        <v>2024</v>
      </c>
      <c r="I128">
        <v>2</v>
      </c>
      <c r="J128" t="s">
        <v>84</v>
      </c>
      <c r="K128" t="s">
        <v>41</v>
      </c>
      <c r="L128" t="s">
        <v>26</v>
      </c>
      <c r="M128">
        <v>0</v>
      </c>
      <c r="N128">
        <v>8</v>
      </c>
      <c r="O128">
        <v>0</v>
      </c>
      <c r="P128">
        <v>0</v>
      </c>
      <c r="Q128">
        <v>0</v>
      </c>
      <c r="R128">
        <v>0</v>
      </c>
      <c r="AV128">
        <v>127</v>
      </c>
      <c r="AW128" t="s">
        <v>577</v>
      </c>
      <c r="CC128" t="s">
        <v>58</v>
      </c>
      <c r="CD128">
        <v>80</v>
      </c>
    </row>
    <row r="129" spans="1:82" x14ac:dyDescent="0.25">
      <c r="A129">
        <v>130</v>
      </c>
      <c r="B129" t="s">
        <v>62</v>
      </c>
      <c r="C129" t="s">
        <v>63</v>
      </c>
      <c r="D129" t="s">
        <v>20</v>
      </c>
      <c r="E129" t="s">
        <v>21</v>
      </c>
      <c r="F129" t="s">
        <v>38</v>
      </c>
      <c r="G129" t="s">
        <v>193</v>
      </c>
      <c r="H129">
        <v>2025</v>
      </c>
      <c r="I129">
        <v>7</v>
      </c>
      <c r="J129" t="s">
        <v>32</v>
      </c>
      <c r="K129" t="s">
        <v>25</v>
      </c>
      <c r="L129" t="s">
        <v>53</v>
      </c>
      <c r="M129">
        <v>1</v>
      </c>
      <c r="N129">
        <v>8</v>
      </c>
      <c r="O129">
        <v>1</v>
      </c>
      <c r="P129">
        <v>1</v>
      </c>
      <c r="Q129">
        <v>93</v>
      </c>
      <c r="R129">
        <v>5</v>
      </c>
      <c r="AV129">
        <v>128</v>
      </c>
      <c r="AW129" t="s">
        <v>577</v>
      </c>
      <c r="CC129" t="s">
        <v>63</v>
      </c>
      <c r="CD129">
        <v>86</v>
      </c>
    </row>
    <row r="130" spans="1:82" x14ac:dyDescent="0.25">
      <c r="A130">
        <v>131</v>
      </c>
      <c r="B130" t="s">
        <v>57</v>
      </c>
      <c r="C130" t="s">
        <v>58</v>
      </c>
      <c r="D130" t="s">
        <v>36</v>
      </c>
      <c r="E130" t="s">
        <v>37</v>
      </c>
      <c r="F130" t="s">
        <v>59</v>
      </c>
      <c r="G130" t="s">
        <v>194</v>
      </c>
      <c r="H130">
        <v>2025</v>
      </c>
      <c r="I130">
        <v>7</v>
      </c>
      <c r="J130" t="s">
        <v>32</v>
      </c>
      <c r="K130" t="s">
        <v>25</v>
      </c>
      <c r="L130" t="s">
        <v>61</v>
      </c>
      <c r="M130">
        <v>0</v>
      </c>
      <c r="N130">
        <v>8</v>
      </c>
      <c r="O130">
        <v>1</v>
      </c>
      <c r="P130">
        <v>0</v>
      </c>
      <c r="Q130">
        <v>66</v>
      </c>
      <c r="R130">
        <v>4</v>
      </c>
      <c r="AV130">
        <v>129</v>
      </c>
      <c r="AW130" t="s">
        <v>578</v>
      </c>
      <c r="CC130" t="s">
        <v>58</v>
      </c>
      <c r="CD130">
        <v>87</v>
      </c>
    </row>
    <row r="131" spans="1:82" x14ac:dyDescent="0.25">
      <c r="A131">
        <v>132</v>
      </c>
      <c r="B131" t="s">
        <v>42</v>
      </c>
      <c r="C131" t="s">
        <v>43</v>
      </c>
      <c r="D131" t="s">
        <v>36</v>
      </c>
      <c r="E131" t="s">
        <v>49</v>
      </c>
      <c r="F131" t="s">
        <v>22</v>
      </c>
      <c r="G131" t="s">
        <v>195</v>
      </c>
      <c r="H131">
        <v>2025</v>
      </c>
      <c r="I131">
        <v>1</v>
      </c>
      <c r="J131" t="s">
        <v>68</v>
      </c>
      <c r="K131" t="s">
        <v>41</v>
      </c>
      <c r="L131" t="s">
        <v>33</v>
      </c>
      <c r="M131">
        <v>0</v>
      </c>
      <c r="N131">
        <v>8</v>
      </c>
      <c r="O131">
        <v>0</v>
      </c>
      <c r="P131">
        <v>0</v>
      </c>
      <c r="Q131">
        <v>0</v>
      </c>
      <c r="R131">
        <v>0</v>
      </c>
      <c r="AV131">
        <v>130</v>
      </c>
      <c r="AW131" t="s">
        <v>577</v>
      </c>
      <c r="CC131" t="s">
        <v>43</v>
      </c>
      <c r="CD131">
        <v>71</v>
      </c>
    </row>
    <row r="132" spans="1:82" x14ac:dyDescent="0.25">
      <c r="A132">
        <v>133</v>
      </c>
      <c r="B132" t="s">
        <v>34</v>
      </c>
      <c r="C132" t="s">
        <v>35</v>
      </c>
      <c r="D132" t="s">
        <v>36</v>
      </c>
      <c r="E132" t="s">
        <v>49</v>
      </c>
      <c r="F132" t="s">
        <v>38</v>
      </c>
      <c r="G132" t="s">
        <v>101</v>
      </c>
      <c r="H132">
        <v>2024</v>
      </c>
      <c r="I132">
        <v>9</v>
      </c>
      <c r="J132" t="s">
        <v>24</v>
      </c>
      <c r="K132" t="s">
        <v>25</v>
      </c>
      <c r="L132" t="s">
        <v>61</v>
      </c>
      <c r="M132">
        <v>0</v>
      </c>
      <c r="N132">
        <v>8</v>
      </c>
      <c r="O132">
        <v>0</v>
      </c>
      <c r="P132">
        <v>0</v>
      </c>
      <c r="Q132">
        <v>0</v>
      </c>
      <c r="R132">
        <v>0</v>
      </c>
      <c r="AV132">
        <v>131</v>
      </c>
      <c r="AW132" t="s">
        <v>577</v>
      </c>
      <c r="CC132" t="s">
        <v>35</v>
      </c>
      <c r="CD132">
        <v>63</v>
      </c>
    </row>
    <row r="133" spans="1:82" x14ac:dyDescent="0.25">
      <c r="A133">
        <v>134</v>
      </c>
      <c r="B133" t="s">
        <v>34</v>
      </c>
      <c r="C133" t="s">
        <v>35</v>
      </c>
      <c r="D133" t="s">
        <v>36</v>
      </c>
      <c r="E133" t="s">
        <v>49</v>
      </c>
      <c r="F133" t="s">
        <v>38</v>
      </c>
      <c r="G133" t="s">
        <v>196</v>
      </c>
      <c r="H133">
        <v>2024</v>
      </c>
      <c r="I133">
        <v>6</v>
      </c>
      <c r="J133" t="s">
        <v>76</v>
      </c>
      <c r="K133" t="s">
        <v>48</v>
      </c>
      <c r="L133" t="s">
        <v>77</v>
      </c>
      <c r="M133">
        <v>0</v>
      </c>
      <c r="N133">
        <v>8</v>
      </c>
      <c r="O133">
        <v>0</v>
      </c>
      <c r="P133">
        <v>0</v>
      </c>
      <c r="Q133">
        <v>0</v>
      </c>
      <c r="R133">
        <v>0</v>
      </c>
      <c r="AV133">
        <v>132</v>
      </c>
      <c r="AW133" t="s">
        <v>577</v>
      </c>
      <c r="CC133" t="s">
        <v>35</v>
      </c>
      <c r="CD133">
        <v>84</v>
      </c>
    </row>
    <row r="134" spans="1:82" x14ac:dyDescent="0.25">
      <c r="A134">
        <v>135</v>
      </c>
      <c r="B134" t="s">
        <v>65</v>
      </c>
      <c r="C134" t="s">
        <v>66</v>
      </c>
      <c r="D134" t="s">
        <v>36</v>
      </c>
      <c r="E134" t="s">
        <v>37</v>
      </c>
      <c r="F134" t="s">
        <v>38</v>
      </c>
      <c r="G134" t="s">
        <v>197</v>
      </c>
      <c r="H134">
        <v>2024</v>
      </c>
      <c r="I134">
        <v>6</v>
      </c>
      <c r="J134" t="s">
        <v>76</v>
      </c>
      <c r="K134" t="s">
        <v>48</v>
      </c>
      <c r="L134" t="s">
        <v>53</v>
      </c>
      <c r="M134">
        <v>1</v>
      </c>
      <c r="N134">
        <v>8</v>
      </c>
      <c r="O134">
        <v>0</v>
      </c>
      <c r="P134">
        <v>0</v>
      </c>
      <c r="Q134">
        <v>0</v>
      </c>
      <c r="R134">
        <v>0</v>
      </c>
      <c r="AV134">
        <v>133</v>
      </c>
      <c r="AW134" t="s">
        <v>578</v>
      </c>
      <c r="CC134" t="s">
        <v>66</v>
      </c>
      <c r="CD134">
        <v>90</v>
      </c>
    </row>
    <row r="135" spans="1:82" x14ac:dyDescent="0.25">
      <c r="A135">
        <v>136</v>
      </c>
      <c r="B135" t="s">
        <v>122</v>
      </c>
      <c r="C135" t="s">
        <v>123</v>
      </c>
      <c r="D135" t="s">
        <v>20</v>
      </c>
      <c r="E135" t="s">
        <v>29</v>
      </c>
      <c r="F135" t="s">
        <v>71</v>
      </c>
      <c r="G135" t="s">
        <v>148</v>
      </c>
      <c r="H135">
        <v>2025</v>
      </c>
      <c r="I135">
        <v>5</v>
      </c>
      <c r="J135" t="s">
        <v>47</v>
      </c>
      <c r="K135" t="s">
        <v>48</v>
      </c>
      <c r="L135" t="s">
        <v>53</v>
      </c>
      <c r="M135">
        <v>1</v>
      </c>
      <c r="N135">
        <v>8</v>
      </c>
      <c r="O135">
        <v>1</v>
      </c>
      <c r="P135">
        <v>1</v>
      </c>
      <c r="Q135">
        <v>70</v>
      </c>
      <c r="R135">
        <v>8</v>
      </c>
      <c r="AV135">
        <v>134</v>
      </c>
      <c r="AW135" t="s">
        <v>578</v>
      </c>
      <c r="CC135" t="s">
        <v>123</v>
      </c>
      <c r="CD135">
        <v>80</v>
      </c>
    </row>
    <row r="136" spans="1:82" x14ac:dyDescent="0.25">
      <c r="A136">
        <v>137</v>
      </c>
      <c r="B136" t="s">
        <v>42</v>
      </c>
      <c r="C136" t="s">
        <v>43</v>
      </c>
      <c r="D136" t="s">
        <v>36</v>
      </c>
      <c r="E136" t="s">
        <v>29</v>
      </c>
      <c r="F136" t="s">
        <v>22</v>
      </c>
      <c r="G136" t="s">
        <v>99</v>
      </c>
      <c r="H136">
        <v>2025</v>
      </c>
      <c r="I136">
        <v>6</v>
      </c>
      <c r="J136" t="s">
        <v>76</v>
      </c>
      <c r="K136" t="s">
        <v>48</v>
      </c>
      <c r="L136" t="s">
        <v>26</v>
      </c>
      <c r="M136">
        <v>0</v>
      </c>
      <c r="N136">
        <v>8</v>
      </c>
      <c r="O136">
        <v>0</v>
      </c>
      <c r="P136">
        <v>0</v>
      </c>
      <c r="Q136">
        <v>0</v>
      </c>
      <c r="R136">
        <v>0</v>
      </c>
      <c r="AV136">
        <v>135</v>
      </c>
      <c r="AW136" t="s">
        <v>578</v>
      </c>
      <c r="CC136" t="s">
        <v>43</v>
      </c>
      <c r="CD136">
        <v>69</v>
      </c>
    </row>
    <row r="137" spans="1:82" x14ac:dyDescent="0.25">
      <c r="A137">
        <v>138</v>
      </c>
      <c r="B137" t="s">
        <v>57</v>
      </c>
      <c r="C137" t="s">
        <v>58</v>
      </c>
      <c r="D137" t="s">
        <v>36</v>
      </c>
      <c r="E137" t="s">
        <v>49</v>
      </c>
      <c r="F137" t="s">
        <v>59</v>
      </c>
      <c r="G137" t="s">
        <v>198</v>
      </c>
      <c r="H137">
        <v>2025</v>
      </c>
      <c r="I137">
        <v>6</v>
      </c>
      <c r="J137" t="s">
        <v>76</v>
      </c>
      <c r="K137" t="s">
        <v>48</v>
      </c>
      <c r="L137" t="s">
        <v>53</v>
      </c>
      <c r="M137">
        <v>1</v>
      </c>
      <c r="N137">
        <v>8</v>
      </c>
      <c r="O137">
        <v>1</v>
      </c>
      <c r="P137">
        <v>0</v>
      </c>
      <c r="Q137">
        <v>61</v>
      </c>
      <c r="R137">
        <v>4</v>
      </c>
      <c r="AV137">
        <v>136</v>
      </c>
      <c r="AW137" t="s">
        <v>578</v>
      </c>
      <c r="CC137" t="s">
        <v>58</v>
      </c>
      <c r="CD137">
        <v>79</v>
      </c>
    </row>
    <row r="138" spans="1:82" x14ac:dyDescent="0.25">
      <c r="A138">
        <v>139</v>
      </c>
      <c r="B138" t="s">
        <v>69</v>
      </c>
      <c r="C138" t="s">
        <v>70</v>
      </c>
      <c r="D138" t="s">
        <v>36</v>
      </c>
      <c r="E138" t="s">
        <v>29</v>
      </c>
      <c r="F138" t="s">
        <v>71</v>
      </c>
      <c r="G138" t="s">
        <v>199</v>
      </c>
      <c r="H138">
        <v>2025</v>
      </c>
      <c r="I138">
        <v>4</v>
      </c>
      <c r="J138" t="s">
        <v>89</v>
      </c>
      <c r="K138" t="s">
        <v>48</v>
      </c>
      <c r="L138" t="s">
        <v>61</v>
      </c>
      <c r="M138">
        <v>0</v>
      </c>
      <c r="N138">
        <v>8</v>
      </c>
      <c r="O138">
        <v>1</v>
      </c>
      <c r="P138">
        <v>3</v>
      </c>
      <c r="Q138">
        <v>73</v>
      </c>
      <c r="R138">
        <v>0</v>
      </c>
      <c r="AV138">
        <v>137</v>
      </c>
      <c r="AW138" t="s">
        <v>578</v>
      </c>
      <c r="CC138" t="s">
        <v>70</v>
      </c>
      <c r="CD138">
        <v>83</v>
      </c>
    </row>
    <row r="139" spans="1:82" x14ac:dyDescent="0.25">
      <c r="A139">
        <v>140</v>
      </c>
      <c r="B139" t="s">
        <v>65</v>
      </c>
      <c r="C139" t="s">
        <v>66</v>
      </c>
      <c r="D139" t="s">
        <v>36</v>
      </c>
      <c r="E139" t="s">
        <v>54</v>
      </c>
      <c r="F139" t="s">
        <v>38</v>
      </c>
      <c r="G139" t="s">
        <v>200</v>
      </c>
      <c r="H139">
        <v>2025</v>
      </c>
      <c r="I139">
        <v>9</v>
      </c>
      <c r="J139" t="s">
        <v>24</v>
      </c>
      <c r="K139" t="s">
        <v>25</v>
      </c>
      <c r="L139" t="s">
        <v>85</v>
      </c>
      <c r="M139">
        <v>0</v>
      </c>
      <c r="N139">
        <v>8</v>
      </c>
      <c r="O139">
        <v>1</v>
      </c>
      <c r="P139">
        <v>3</v>
      </c>
      <c r="Q139">
        <v>81</v>
      </c>
      <c r="R139">
        <v>3</v>
      </c>
      <c r="AV139">
        <v>138</v>
      </c>
      <c r="AW139" t="s">
        <v>578</v>
      </c>
      <c r="CC139" t="s">
        <v>66</v>
      </c>
      <c r="CD139">
        <v>94</v>
      </c>
    </row>
    <row r="140" spans="1:82" x14ac:dyDescent="0.25">
      <c r="A140">
        <v>141</v>
      </c>
      <c r="B140" t="s">
        <v>79</v>
      </c>
      <c r="C140" t="s">
        <v>80</v>
      </c>
      <c r="D140" t="s">
        <v>20</v>
      </c>
      <c r="E140" t="s">
        <v>54</v>
      </c>
      <c r="F140" t="s">
        <v>81</v>
      </c>
      <c r="G140" t="s">
        <v>201</v>
      </c>
      <c r="H140">
        <v>2025</v>
      </c>
      <c r="I140">
        <v>11</v>
      </c>
      <c r="J140" t="s">
        <v>74</v>
      </c>
      <c r="K140" t="s">
        <v>52</v>
      </c>
      <c r="L140" t="s">
        <v>77</v>
      </c>
      <c r="M140">
        <v>0</v>
      </c>
      <c r="N140">
        <v>8</v>
      </c>
      <c r="O140">
        <v>0</v>
      </c>
      <c r="P140">
        <v>0</v>
      </c>
      <c r="Q140">
        <v>0</v>
      </c>
      <c r="R140">
        <v>0</v>
      </c>
      <c r="AV140">
        <v>139</v>
      </c>
      <c r="AW140" t="s">
        <v>577</v>
      </c>
      <c r="CC140" t="s">
        <v>80</v>
      </c>
      <c r="CD140">
        <v>64</v>
      </c>
    </row>
    <row r="141" spans="1:82" x14ac:dyDescent="0.25">
      <c r="A141">
        <v>142</v>
      </c>
      <c r="B141" t="s">
        <v>57</v>
      </c>
      <c r="C141" t="s">
        <v>58</v>
      </c>
      <c r="D141" t="s">
        <v>36</v>
      </c>
      <c r="E141" t="s">
        <v>54</v>
      </c>
      <c r="F141" t="s">
        <v>59</v>
      </c>
      <c r="G141" t="s">
        <v>202</v>
      </c>
      <c r="H141">
        <v>2025</v>
      </c>
      <c r="I141">
        <v>5</v>
      </c>
      <c r="J141" t="s">
        <v>47</v>
      </c>
      <c r="K141" t="s">
        <v>48</v>
      </c>
      <c r="L141" t="s">
        <v>77</v>
      </c>
      <c r="M141">
        <v>0</v>
      </c>
      <c r="N141">
        <v>8</v>
      </c>
      <c r="O141">
        <v>1</v>
      </c>
      <c r="P141">
        <v>0</v>
      </c>
      <c r="Q141">
        <v>86</v>
      </c>
      <c r="R141">
        <v>0</v>
      </c>
      <c r="AV141">
        <v>140</v>
      </c>
      <c r="AW141" t="s">
        <v>578</v>
      </c>
      <c r="CC141" t="s">
        <v>58</v>
      </c>
      <c r="CD141">
        <v>92</v>
      </c>
    </row>
    <row r="142" spans="1:82" x14ac:dyDescent="0.25">
      <c r="A142">
        <v>143</v>
      </c>
      <c r="B142" t="s">
        <v>57</v>
      </c>
      <c r="C142" t="s">
        <v>58</v>
      </c>
      <c r="D142" t="s">
        <v>36</v>
      </c>
      <c r="E142" t="s">
        <v>29</v>
      </c>
      <c r="F142" t="s">
        <v>59</v>
      </c>
      <c r="G142" t="s">
        <v>131</v>
      </c>
      <c r="H142">
        <v>2025</v>
      </c>
      <c r="I142">
        <v>11</v>
      </c>
      <c r="J142" t="s">
        <v>74</v>
      </c>
      <c r="K142" t="s">
        <v>52</v>
      </c>
      <c r="L142" t="s">
        <v>45</v>
      </c>
      <c r="M142">
        <v>1</v>
      </c>
      <c r="N142">
        <v>8</v>
      </c>
      <c r="O142">
        <v>1</v>
      </c>
      <c r="P142">
        <v>3</v>
      </c>
      <c r="Q142">
        <v>74</v>
      </c>
      <c r="R142">
        <v>6</v>
      </c>
      <c r="AV142">
        <v>141</v>
      </c>
      <c r="AW142" t="s">
        <v>578</v>
      </c>
      <c r="CC142" t="s">
        <v>58</v>
      </c>
      <c r="CD142">
        <v>66</v>
      </c>
    </row>
    <row r="143" spans="1:82" x14ac:dyDescent="0.25">
      <c r="A143">
        <v>144</v>
      </c>
      <c r="B143" t="s">
        <v>57</v>
      </c>
      <c r="C143" t="s">
        <v>58</v>
      </c>
      <c r="D143" t="s">
        <v>36</v>
      </c>
      <c r="E143" t="s">
        <v>21</v>
      </c>
      <c r="F143" t="s">
        <v>59</v>
      </c>
      <c r="G143" t="s">
        <v>203</v>
      </c>
      <c r="H143">
        <v>2025</v>
      </c>
      <c r="I143">
        <v>11</v>
      </c>
      <c r="J143" t="s">
        <v>74</v>
      </c>
      <c r="K143" t="s">
        <v>52</v>
      </c>
      <c r="L143" t="s">
        <v>77</v>
      </c>
      <c r="M143">
        <v>0</v>
      </c>
      <c r="N143">
        <v>8</v>
      </c>
      <c r="O143">
        <v>1</v>
      </c>
      <c r="P143">
        <v>1</v>
      </c>
      <c r="Q143">
        <v>63</v>
      </c>
      <c r="R143">
        <v>1</v>
      </c>
      <c r="AV143">
        <v>142</v>
      </c>
      <c r="AW143" t="s">
        <v>578</v>
      </c>
      <c r="CC143" t="s">
        <v>58</v>
      </c>
      <c r="CD143">
        <v>65</v>
      </c>
    </row>
    <row r="144" spans="1:82" x14ac:dyDescent="0.25">
      <c r="A144">
        <v>145</v>
      </c>
      <c r="B144" t="s">
        <v>62</v>
      </c>
      <c r="C144" t="s">
        <v>63</v>
      </c>
      <c r="D144" t="s">
        <v>20</v>
      </c>
      <c r="E144" t="s">
        <v>54</v>
      </c>
      <c r="F144" t="s">
        <v>38</v>
      </c>
      <c r="G144" t="s">
        <v>204</v>
      </c>
      <c r="H144">
        <v>2024</v>
      </c>
      <c r="I144">
        <v>9</v>
      </c>
      <c r="J144" t="s">
        <v>24</v>
      </c>
      <c r="K144" t="s">
        <v>25</v>
      </c>
      <c r="L144" t="s">
        <v>45</v>
      </c>
      <c r="M144">
        <v>1</v>
      </c>
      <c r="N144">
        <v>8</v>
      </c>
      <c r="O144">
        <v>1</v>
      </c>
      <c r="P144">
        <v>0</v>
      </c>
      <c r="Q144">
        <v>87</v>
      </c>
      <c r="R144">
        <v>5</v>
      </c>
      <c r="AV144">
        <v>143</v>
      </c>
      <c r="AW144" t="s">
        <v>578</v>
      </c>
      <c r="CC144" t="s">
        <v>63</v>
      </c>
      <c r="CD144">
        <v>77</v>
      </c>
    </row>
    <row r="145" spans="1:82" x14ac:dyDescent="0.25">
      <c r="A145">
        <v>146</v>
      </c>
      <c r="B145" t="s">
        <v>79</v>
      </c>
      <c r="C145" t="s">
        <v>80</v>
      </c>
      <c r="D145" t="s">
        <v>20</v>
      </c>
      <c r="E145" t="s">
        <v>37</v>
      </c>
      <c r="F145" t="s">
        <v>81</v>
      </c>
      <c r="G145" t="s">
        <v>205</v>
      </c>
      <c r="H145">
        <v>2025</v>
      </c>
      <c r="I145">
        <v>11</v>
      </c>
      <c r="J145" t="s">
        <v>74</v>
      </c>
      <c r="K145" t="s">
        <v>52</v>
      </c>
      <c r="L145" t="s">
        <v>33</v>
      </c>
      <c r="M145">
        <v>0</v>
      </c>
      <c r="N145">
        <v>8</v>
      </c>
      <c r="O145">
        <v>1</v>
      </c>
      <c r="P145">
        <v>2</v>
      </c>
      <c r="Q145">
        <v>94</v>
      </c>
      <c r="R145">
        <v>10</v>
      </c>
      <c r="AV145">
        <v>144</v>
      </c>
      <c r="AW145" t="s">
        <v>578</v>
      </c>
      <c r="CC145" t="s">
        <v>80</v>
      </c>
      <c r="CD145">
        <v>91</v>
      </c>
    </row>
    <row r="146" spans="1:82" x14ac:dyDescent="0.25">
      <c r="A146">
        <v>147</v>
      </c>
      <c r="B146" t="s">
        <v>18</v>
      </c>
      <c r="C146" t="s">
        <v>19</v>
      </c>
      <c r="D146" t="s">
        <v>20</v>
      </c>
      <c r="E146" t="s">
        <v>54</v>
      </c>
      <c r="F146" t="s">
        <v>22</v>
      </c>
      <c r="G146" t="s">
        <v>93</v>
      </c>
      <c r="H146">
        <v>2024</v>
      </c>
      <c r="I146">
        <v>3</v>
      </c>
      <c r="J146" t="s">
        <v>40</v>
      </c>
      <c r="K146" t="s">
        <v>41</v>
      </c>
      <c r="L146" t="s">
        <v>53</v>
      </c>
      <c r="M146">
        <v>1</v>
      </c>
      <c r="N146">
        <v>8</v>
      </c>
      <c r="O146">
        <v>0</v>
      </c>
      <c r="P146">
        <v>0</v>
      </c>
      <c r="Q146">
        <v>0</v>
      </c>
      <c r="R146">
        <v>0</v>
      </c>
      <c r="AV146">
        <v>145</v>
      </c>
      <c r="AW146" t="s">
        <v>577</v>
      </c>
      <c r="CC146" t="s">
        <v>19</v>
      </c>
      <c r="CD146">
        <v>69</v>
      </c>
    </row>
    <row r="147" spans="1:82" x14ac:dyDescent="0.25">
      <c r="A147">
        <v>148</v>
      </c>
      <c r="B147" t="s">
        <v>27</v>
      </c>
      <c r="C147" t="s">
        <v>28</v>
      </c>
      <c r="D147" t="s">
        <v>20</v>
      </c>
      <c r="E147" t="s">
        <v>49</v>
      </c>
      <c r="F147" t="s">
        <v>30</v>
      </c>
      <c r="G147" t="s">
        <v>206</v>
      </c>
      <c r="H147">
        <v>2024</v>
      </c>
      <c r="I147">
        <v>8</v>
      </c>
      <c r="J147" t="s">
        <v>107</v>
      </c>
      <c r="K147" t="s">
        <v>25</v>
      </c>
      <c r="L147" t="s">
        <v>26</v>
      </c>
      <c r="M147">
        <v>0</v>
      </c>
      <c r="N147">
        <v>8</v>
      </c>
      <c r="O147">
        <v>0</v>
      </c>
      <c r="P147">
        <v>0</v>
      </c>
      <c r="Q147">
        <v>0</v>
      </c>
      <c r="R147">
        <v>0</v>
      </c>
      <c r="AV147">
        <v>146</v>
      </c>
      <c r="AW147" t="s">
        <v>577</v>
      </c>
      <c r="CC147" t="s">
        <v>28</v>
      </c>
      <c r="CD147">
        <v>90</v>
      </c>
    </row>
    <row r="148" spans="1:82" x14ac:dyDescent="0.25">
      <c r="A148">
        <v>149</v>
      </c>
      <c r="B148" t="s">
        <v>57</v>
      </c>
      <c r="C148" t="s">
        <v>58</v>
      </c>
      <c r="D148" t="s">
        <v>36</v>
      </c>
      <c r="E148" t="s">
        <v>49</v>
      </c>
      <c r="F148" t="s">
        <v>59</v>
      </c>
      <c r="G148" t="s">
        <v>207</v>
      </c>
      <c r="H148">
        <v>2024</v>
      </c>
      <c r="I148">
        <v>8</v>
      </c>
      <c r="J148" t="s">
        <v>107</v>
      </c>
      <c r="K148" t="s">
        <v>25</v>
      </c>
      <c r="L148" t="s">
        <v>53</v>
      </c>
      <c r="M148">
        <v>1</v>
      </c>
      <c r="N148">
        <v>8</v>
      </c>
      <c r="O148">
        <v>0</v>
      </c>
      <c r="P148">
        <v>0</v>
      </c>
      <c r="Q148">
        <v>0</v>
      </c>
      <c r="R148">
        <v>0</v>
      </c>
      <c r="AV148">
        <v>147</v>
      </c>
      <c r="AW148" t="s">
        <v>577</v>
      </c>
      <c r="CC148" t="s">
        <v>58</v>
      </c>
      <c r="CD148">
        <v>77</v>
      </c>
    </row>
    <row r="149" spans="1:82" x14ac:dyDescent="0.25">
      <c r="A149">
        <v>150</v>
      </c>
      <c r="B149" t="s">
        <v>34</v>
      </c>
      <c r="C149" t="s">
        <v>35</v>
      </c>
      <c r="D149" t="s">
        <v>36</v>
      </c>
      <c r="E149" t="s">
        <v>49</v>
      </c>
      <c r="F149" t="s">
        <v>38</v>
      </c>
      <c r="G149" t="s">
        <v>208</v>
      </c>
      <c r="H149">
        <v>2024</v>
      </c>
      <c r="I149">
        <v>12</v>
      </c>
      <c r="J149" t="s">
        <v>51</v>
      </c>
      <c r="K149" t="s">
        <v>52</v>
      </c>
      <c r="L149" t="s">
        <v>53</v>
      </c>
      <c r="M149">
        <v>1</v>
      </c>
      <c r="N149">
        <v>8</v>
      </c>
      <c r="O149">
        <v>0</v>
      </c>
      <c r="P149">
        <v>0</v>
      </c>
      <c r="Q149">
        <v>0</v>
      </c>
      <c r="R149">
        <v>0</v>
      </c>
      <c r="AV149">
        <v>148</v>
      </c>
      <c r="AW149" t="s">
        <v>578</v>
      </c>
      <c r="CC149" t="s">
        <v>35</v>
      </c>
      <c r="CD149">
        <v>74</v>
      </c>
    </row>
    <row r="150" spans="1:82" x14ac:dyDescent="0.25">
      <c r="A150">
        <v>151</v>
      </c>
      <c r="B150" t="s">
        <v>65</v>
      </c>
      <c r="C150" t="s">
        <v>66</v>
      </c>
      <c r="D150" t="s">
        <v>36</v>
      </c>
      <c r="E150" t="s">
        <v>54</v>
      </c>
      <c r="F150" t="s">
        <v>38</v>
      </c>
      <c r="G150" t="s">
        <v>209</v>
      </c>
      <c r="H150">
        <v>2025</v>
      </c>
      <c r="I150">
        <v>12</v>
      </c>
      <c r="J150" t="s">
        <v>51</v>
      </c>
      <c r="K150" t="s">
        <v>52</v>
      </c>
      <c r="L150" t="s">
        <v>77</v>
      </c>
      <c r="M150">
        <v>0</v>
      </c>
      <c r="N150">
        <v>8</v>
      </c>
      <c r="O150">
        <v>1</v>
      </c>
      <c r="P150">
        <v>1</v>
      </c>
      <c r="Q150">
        <v>73</v>
      </c>
      <c r="R150">
        <v>9</v>
      </c>
      <c r="AV150">
        <v>149</v>
      </c>
      <c r="AW150" t="s">
        <v>578</v>
      </c>
      <c r="CC150" t="s">
        <v>66</v>
      </c>
      <c r="CD150">
        <v>70</v>
      </c>
    </row>
    <row r="151" spans="1:82" x14ac:dyDescent="0.25">
      <c r="A151">
        <v>152</v>
      </c>
      <c r="B151" t="s">
        <v>122</v>
      </c>
      <c r="C151" t="s">
        <v>123</v>
      </c>
      <c r="D151" t="s">
        <v>20</v>
      </c>
      <c r="E151" t="s">
        <v>54</v>
      </c>
      <c r="F151" t="s">
        <v>71</v>
      </c>
      <c r="G151" t="s">
        <v>210</v>
      </c>
      <c r="H151">
        <v>2025</v>
      </c>
      <c r="I151">
        <v>4</v>
      </c>
      <c r="J151" t="s">
        <v>89</v>
      </c>
      <c r="K151" t="s">
        <v>48</v>
      </c>
      <c r="L151" t="s">
        <v>53</v>
      </c>
      <c r="M151">
        <v>1</v>
      </c>
      <c r="N151">
        <v>8</v>
      </c>
      <c r="O151">
        <v>0</v>
      </c>
      <c r="P151">
        <v>0</v>
      </c>
      <c r="Q151">
        <v>0</v>
      </c>
      <c r="R151">
        <v>0</v>
      </c>
      <c r="AV151">
        <v>150</v>
      </c>
      <c r="AW151" t="s">
        <v>577</v>
      </c>
      <c r="CC151" t="s">
        <v>123</v>
      </c>
      <c r="CD151">
        <v>73</v>
      </c>
    </row>
    <row r="152" spans="1:82" x14ac:dyDescent="0.25">
      <c r="A152">
        <v>153</v>
      </c>
      <c r="B152" t="s">
        <v>122</v>
      </c>
      <c r="C152" t="s">
        <v>123</v>
      </c>
      <c r="D152" t="s">
        <v>20</v>
      </c>
      <c r="E152" t="s">
        <v>37</v>
      </c>
      <c r="F152" t="s">
        <v>71</v>
      </c>
      <c r="G152" t="s">
        <v>211</v>
      </c>
      <c r="H152">
        <v>2025</v>
      </c>
      <c r="I152">
        <v>9</v>
      </c>
      <c r="J152" t="s">
        <v>24</v>
      </c>
      <c r="K152" t="s">
        <v>25</v>
      </c>
      <c r="L152" t="s">
        <v>26</v>
      </c>
      <c r="M152">
        <v>0</v>
      </c>
      <c r="N152">
        <v>8</v>
      </c>
      <c r="O152">
        <v>0</v>
      </c>
      <c r="P152">
        <v>0</v>
      </c>
      <c r="Q152">
        <v>0</v>
      </c>
      <c r="R152">
        <v>0</v>
      </c>
      <c r="AV152">
        <v>151</v>
      </c>
      <c r="AW152" t="s">
        <v>577</v>
      </c>
      <c r="CC152" t="s">
        <v>123</v>
      </c>
      <c r="CD152">
        <v>91</v>
      </c>
    </row>
    <row r="153" spans="1:82" x14ac:dyDescent="0.25">
      <c r="A153">
        <v>154</v>
      </c>
      <c r="B153" t="s">
        <v>18</v>
      </c>
      <c r="C153" t="s">
        <v>19</v>
      </c>
      <c r="D153" t="s">
        <v>20</v>
      </c>
      <c r="E153" t="s">
        <v>29</v>
      </c>
      <c r="F153" t="s">
        <v>22</v>
      </c>
      <c r="G153" t="s">
        <v>78</v>
      </c>
      <c r="H153">
        <v>2024</v>
      </c>
      <c r="I153">
        <v>6</v>
      </c>
      <c r="J153" t="s">
        <v>76</v>
      </c>
      <c r="K153" t="s">
        <v>48</v>
      </c>
      <c r="L153" t="s">
        <v>61</v>
      </c>
      <c r="M153">
        <v>0</v>
      </c>
      <c r="N153">
        <v>8</v>
      </c>
      <c r="O153">
        <v>0</v>
      </c>
      <c r="P153">
        <v>0</v>
      </c>
      <c r="Q153">
        <v>0</v>
      </c>
      <c r="R153">
        <v>0</v>
      </c>
      <c r="AV153">
        <v>152</v>
      </c>
      <c r="AW153" t="s">
        <v>578</v>
      </c>
      <c r="CC153" t="s">
        <v>19</v>
      </c>
      <c r="CD153">
        <v>73</v>
      </c>
    </row>
    <row r="154" spans="1:82" x14ac:dyDescent="0.25">
      <c r="A154">
        <v>155</v>
      </c>
      <c r="B154" t="s">
        <v>18</v>
      </c>
      <c r="C154" t="s">
        <v>19</v>
      </c>
      <c r="D154" t="s">
        <v>20</v>
      </c>
      <c r="E154" t="s">
        <v>29</v>
      </c>
      <c r="F154" t="s">
        <v>22</v>
      </c>
      <c r="G154" t="s">
        <v>212</v>
      </c>
      <c r="H154">
        <v>2024</v>
      </c>
      <c r="I154">
        <v>9</v>
      </c>
      <c r="J154" t="s">
        <v>24</v>
      </c>
      <c r="K154" t="s">
        <v>25</v>
      </c>
      <c r="L154" t="s">
        <v>53</v>
      </c>
      <c r="M154">
        <v>1</v>
      </c>
      <c r="N154">
        <v>8</v>
      </c>
      <c r="O154">
        <v>0</v>
      </c>
      <c r="P154">
        <v>0</v>
      </c>
      <c r="Q154">
        <v>0</v>
      </c>
      <c r="R154">
        <v>0</v>
      </c>
      <c r="AV154">
        <v>153</v>
      </c>
      <c r="AW154" t="s">
        <v>578</v>
      </c>
      <c r="CC154" t="s">
        <v>19</v>
      </c>
      <c r="CD154">
        <v>80</v>
      </c>
    </row>
    <row r="155" spans="1:82" x14ac:dyDescent="0.25">
      <c r="A155">
        <v>156</v>
      </c>
      <c r="B155" t="s">
        <v>65</v>
      </c>
      <c r="C155" t="s">
        <v>66</v>
      </c>
      <c r="D155" t="s">
        <v>36</v>
      </c>
      <c r="E155" t="s">
        <v>29</v>
      </c>
      <c r="F155" t="s">
        <v>38</v>
      </c>
      <c r="G155" t="s">
        <v>117</v>
      </c>
      <c r="H155">
        <v>2025</v>
      </c>
      <c r="I155">
        <v>9</v>
      </c>
      <c r="J155" t="s">
        <v>24</v>
      </c>
      <c r="K155" t="s">
        <v>25</v>
      </c>
      <c r="L155" t="s">
        <v>61</v>
      </c>
      <c r="M155">
        <v>0</v>
      </c>
      <c r="N155">
        <v>8</v>
      </c>
      <c r="O155">
        <v>1</v>
      </c>
      <c r="P155">
        <v>1</v>
      </c>
      <c r="Q155">
        <v>79</v>
      </c>
      <c r="R155">
        <v>2</v>
      </c>
      <c r="AV155">
        <v>154</v>
      </c>
      <c r="AW155" t="s">
        <v>578</v>
      </c>
      <c r="CC155" t="s">
        <v>66</v>
      </c>
      <c r="CD155">
        <v>78</v>
      </c>
    </row>
    <row r="156" spans="1:82" x14ac:dyDescent="0.25">
      <c r="A156">
        <v>157</v>
      </c>
      <c r="B156" t="s">
        <v>42</v>
      </c>
      <c r="C156" t="s">
        <v>43</v>
      </c>
      <c r="D156" t="s">
        <v>36</v>
      </c>
      <c r="E156" t="s">
        <v>54</v>
      </c>
      <c r="F156" t="s">
        <v>22</v>
      </c>
      <c r="G156" t="s">
        <v>213</v>
      </c>
      <c r="H156">
        <v>2025</v>
      </c>
      <c r="I156">
        <v>6</v>
      </c>
      <c r="J156" t="s">
        <v>76</v>
      </c>
      <c r="K156" t="s">
        <v>48</v>
      </c>
      <c r="L156" t="s">
        <v>45</v>
      </c>
      <c r="M156">
        <v>1</v>
      </c>
      <c r="N156">
        <v>8</v>
      </c>
      <c r="O156">
        <v>0</v>
      </c>
      <c r="P156">
        <v>0</v>
      </c>
      <c r="Q156">
        <v>0</v>
      </c>
      <c r="R156">
        <v>0</v>
      </c>
      <c r="AV156">
        <v>155</v>
      </c>
      <c r="AW156" t="s">
        <v>578</v>
      </c>
      <c r="CC156" t="s">
        <v>43</v>
      </c>
      <c r="CD156">
        <v>86</v>
      </c>
    </row>
    <row r="157" spans="1:82" x14ac:dyDescent="0.25">
      <c r="A157">
        <v>158</v>
      </c>
      <c r="B157" t="s">
        <v>65</v>
      </c>
      <c r="C157" t="s">
        <v>66</v>
      </c>
      <c r="D157" t="s">
        <v>36</v>
      </c>
      <c r="E157" t="s">
        <v>29</v>
      </c>
      <c r="F157" t="s">
        <v>38</v>
      </c>
      <c r="G157" t="s">
        <v>214</v>
      </c>
      <c r="H157">
        <v>2025</v>
      </c>
      <c r="I157">
        <v>10</v>
      </c>
      <c r="J157" t="s">
        <v>105</v>
      </c>
      <c r="K157" t="s">
        <v>52</v>
      </c>
      <c r="L157" t="s">
        <v>61</v>
      </c>
      <c r="M157">
        <v>0</v>
      </c>
      <c r="N157">
        <v>8</v>
      </c>
      <c r="O157">
        <v>1</v>
      </c>
      <c r="P157">
        <v>0</v>
      </c>
      <c r="Q157">
        <v>67</v>
      </c>
      <c r="R157">
        <v>1</v>
      </c>
      <c r="AV157">
        <v>156</v>
      </c>
      <c r="AW157" t="s">
        <v>578</v>
      </c>
      <c r="CC157" t="s">
        <v>66</v>
      </c>
      <c r="CD157">
        <v>75</v>
      </c>
    </row>
    <row r="158" spans="1:82" x14ac:dyDescent="0.25">
      <c r="A158">
        <v>159</v>
      </c>
      <c r="B158" t="s">
        <v>79</v>
      </c>
      <c r="C158" t="s">
        <v>80</v>
      </c>
      <c r="D158" t="s">
        <v>20</v>
      </c>
      <c r="E158" t="s">
        <v>37</v>
      </c>
      <c r="F158" t="s">
        <v>81</v>
      </c>
      <c r="G158" t="s">
        <v>215</v>
      </c>
      <c r="H158">
        <v>2024</v>
      </c>
      <c r="I158">
        <v>2</v>
      </c>
      <c r="J158" t="s">
        <v>84</v>
      </c>
      <c r="K158" t="s">
        <v>41</v>
      </c>
      <c r="L158" t="s">
        <v>33</v>
      </c>
      <c r="M158">
        <v>0</v>
      </c>
      <c r="N158">
        <v>8</v>
      </c>
      <c r="O158">
        <v>1</v>
      </c>
      <c r="P158">
        <v>3</v>
      </c>
      <c r="Q158">
        <v>65</v>
      </c>
      <c r="R158">
        <v>3</v>
      </c>
      <c r="AV158">
        <v>157</v>
      </c>
      <c r="AW158" t="s">
        <v>577</v>
      </c>
      <c r="CC158" t="s">
        <v>80</v>
      </c>
      <c r="CD158">
        <v>82</v>
      </c>
    </row>
    <row r="159" spans="1:82" x14ac:dyDescent="0.25">
      <c r="A159">
        <v>160</v>
      </c>
      <c r="B159" t="s">
        <v>79</v>
      </c>
      <c r="C159" t="s">
        <v>80</v>
      </c>
      <c r="D159" t="s">
        <v>20</v>
      </c>
      <c r="E159" t="s">
        <v>21</v>
      </c>
      <c r="F159" t="s">
        <v>81</v>
      </c>
      <c r="G159" t="s">
        <v>216</v>
      </c>
      <c r="H159">
        <v>2025</v>
      </c>
      <c r="I159">
        <v>8</v>
      </c>
      <c r="J159" t="s">
        <v>107</v>
      </c>
      <c r="K159" t="s">
        <v>25</v>
      </c>
      <c r="L159" t="s">
        <v>77</v>
      </c>
      <c r="M159">
        <v>0</v>
      </c>
      <c r="N159">
        <v>8</v>
      </c>
      <c r="O159">
        <v>0</v>
      </c>
      <c r="P159">
        <v>0</v>
      </c>
      <c r="Q159">
        <v>0</v>
      </c>
      <c r="R159">
        <v>0</v>
      </c>
      <c r="AV159">
        <v>158</v>
      </c>
      <c r="AW159" t="s">
        <v>578</v>
      </c>
      <c r="CC159" t="s">
        <v>80</v>
      </c>
      <c r="CD159">
        <v>83</v>
      </c>
    </row>
    <row r="160" spans="1:82" x14ac:dyDescent="0.25">
      <c r="A160">
        <v>161</v>
      </c>
      <c r="B160" t="s">
        <v>42</v>
      </c>
      <c r="C160" t="s">
        <v>43</v>
      </c>
      <c r="D160" t="s">
        <v>36</v>
      </c>
      <c r="E160" t="s">
        <v>29</v>
      </c>
      <c r="F160" t="s">
        <v>22</v>
      </c>
      <c r="G160" t="s">
        <v>78</v>
      </c>
      <c r="H160">
        <v>2024</v>
      </c>
      <c r="I160">
        <v>6</v>
      </c>
      <c r="J160" t="s">
        <v>76</v>
      </c>
      <c r="K160" t="s">
        <v>48</v>
      </c>
      <c r="L160" t="s">
        <v>61</v>
      </c>
      <c r="M160">
        <v>0</v>
      </c>
      <c r="N160">
        <v>8</v>
      </c>
      <c r="O160">
        <v>1</v>
      </c>
      <c r="P160">
        <v>2</v>
      </c>
      <c r="Q160">
        <v>93</v>
      </c>
      <c r="R160">
        <v>6</v>
      </c>
      <c r="AV160">
        <v>159</v>
      </c>
      <c r="AW160" t="s">
        <v>578</v>
      </c>
      <c r="CC160" t="s">
        <v>43</v>
      </c>
      <c r="CD160">
        <v>91</v>
      </c>
    </row>
    <row r="161" spans="1:82" x14ac:dyDescent="0.25">
      <c r="A161">
        <v>162</v>
      </c>
      <c r="B161" t="s">
        <v>122</v>
      </c>
      <c r="C161" t="s">
        <v>123</v>
      </c>
      <c r="D161" t="s">
        <v>20</v>
      </c>
      <c r="E161" t="s">
        <v>29</v>
      </c>
      <c r="F161" t="s">
        <v>71</v>
      </c>
      <c r="G161" t="s">
        <v>217</v>
      </c>
      <c r="H161">
        <v>2025</v>
      </c>
      <c r="I161">
        <v>1</v>
      </c>
      <c r="J161" t="s">
        <v>68</v>
      </c>
      <c r="K161" t="s">
        <v>41</v>
      </c>
      <c r="L161" t="s">
        <v>77</v>
      </c>
      <c r="M161">
        <v>0</v>
      </c>
      <c r="N161">
        <v>8</v>
      </c>
      <c r="O161">
        <v>1</v>
      </c>
      <c r="P161">
        <v>3</v>
      </c>
      <c r="Q161">
        <v>70</v>
      </c>
      <c r="R161">
        <v>3</v>
      </c>
      <c r="AV161">
        <v>160</v>
      </c>
      <c r="AW161" t="s">
        <v>578</v>
      </c>
      <c r="CC161" t="s">
        <v>123</v>
      </c>
      <c r="CD161">
        <v>84</v>
      </c>
    </row>
    <row r="162" spans="1:82" x14ac:dyDescent="0.25">
      <c r="A162">
        <v>163</v>
      </c>
      <c r="B162" t="s">
        <v>27</v>
      </c>
      <c r="C162" t="s">
        <v>28</v>
      </c>
      <c r="D162" t="s">
        <v>20</v>
      </c>
      <c r="E162" t="s">
        <v>49</v>
      </c>
      <c r="F162" t="s">
        <v>30</v>
      </c>
      <c r="G162" t="s">
        <v>218</v>
      </c>
      <c r="H162">
        <v>2024</v>
      </c>
      <c r="I162">
        <v>8</v>
      </c>
      <c r="J162" t="s">
        <v>107</v>
      </c>
      <c r="K162" t="s">
        <v>25</v>
      </c>
      <c r="L162" t="s">
        <v>77</v>
      </c>
      <c r="M162">
        <v>0</v>
      </c>
      <c r="N162">
        <v>8</v>
      </c>
      <c r="O162">
        <v>1</v>
      </c>
      <c r="P162">
        <v>3</v>
      </c>
      <c r="Q162">
        <v>62</v>
      </c>
      <c r="R162">
        <v>1</v>
      </c>
      <c r="AV162">
        <v>161</v>
      </c>
      <c r="AW162" t="s">
        <v>577</v>
      </c>
      <c r="CC162" t="s">
        <v>28</v>
      </c>
      <c r="CD162">
        <v>75</v>
      </c>
    </row>
    <row r="163" spans="1:82" x14ac:dyDescent="0.25">
      <c r="A163">
        <v>164</v>
      </c>
      <c r="B163" t="s">
        <v>18</v>
      </c>
      <c r="C163" t="s">
        <v>19</v>
      </c>
      <c r="D163" t="s">
        <v>20</v>
      </c>
      <c r="E163" t="s">
        <v>29</v>
      </c>
      <c r="F163" t="s">
        <v>22</v>
      </c>
      <c r="G163" t="s">
        <v>219</v>
      </c>
      <c r="H163">
        <v>2024</v>
      </c>
      <c r="I163">
        <v>2</v>
      </c>
      <c r="J163" t="s">
        <v>84</v>
      </c>
      <c r="K163" t="s">
        <v>41</v>
      </c>
      <c r="L163" t="s">
        <v>33</v>
      </c>
      <c r="M163">
        <v>0</v>
      </c>
      <c r="N163">
        <v>8</v>
      </c>
      <c r="O163">
        <v>0</v>
      </c>
      <c r="P163">
        <v>0</v>
      </c>
      <c r="Q163">
        <v>0</v>
      </c>
      <c r="R163">
        <v>0</v>
      </c>
      <c r="AV163">
        <v>162</v>
      </c>
      <c r="AW163" t="s">
        <v>578</v>
      </c>
      <c r="CC163" t="s">
        <v>19</v>
      </c>
      <c r="CD163">
        <v>61</v>
      </c>
    </row>
    <row r="164" spans="1:82" x14ac:dyDescent="0.25">
      <c r="A164">
        <v>165</v>
      </c>
      <c r="B164" t="s">
        <v>34</v>
      </c>
      <c r="C164" t="s">
        <v>35</v>
      </c>
      <c r="D164" t="s">
        <v>36</v>
      </c>
      <c r="E164" t="s">
        <v>21</v>
      </c>
      <c r="F164" t="s">
        <v>38</v>
      </c>
      <c r="G164" t="s">
        <v>220</v>
      </c>
      <c r="H164">
        <v>2025</v>
      </c>
      <c r="I164">
        <v>12</v>
      </c>
      <c r="J164" t="s">
        <v>51</v>
      </c>
      <c r="K164" t="s">
        <v>52</v>
      </c>
      <c r="L164" t="s">
        <v>26</v>
      </c>
      <c r="M164">
        <v>0</v>
      </c>
      <c r="N164">
        <v>8</v>
      </c>
      <c r="O164">
        <v>1</v>
      </c>
      <c r="P164">
        <v>3</v>
      </c>
      <c r="Q164">
        <v>85</v>
      </c>
      <c r="R164">
        <v>5</v>
      </c>
      <c r="AV164">
        <v>163</v>
      </c>
      <c r="AW164" t="s">
        <v>578</v>
      </c>
      <c r="CC164" t="s">
        <v>35</v>
      </c>
      <c r="CD164">
        <v>83</v>
      </c>
    </row>
    <row r="165" spans="1:82" x14ac:dyDescent="0.25">
      <c r="A165">
        <v>166</v>
      </c>
      <c r="B165" t="s">
        <v>122</v>
      </c>
      <c r="C165" t="s">
        <v>123</v>
      </c>
      <c r="D165" t="s">
        <v>20</v>
      </c>
      <c r="E165" t="s">
        <v>21</v>
      </c>
      <c r="F165" t="s">
        <v>71</v>
      </c>
      <c r="G165" t="s">
        <v>145</v>
      </c>
      <c r="H165">
        <v>2025</v>
      </c>
      <c r="I165">
        <v>8</v>
      </c>
      <c r="J165" t="s">
        <v>107</v>
      </c>
      <c r="K165" t="s">
        <v>25</v>
      </c>
      <c r="L165" t="s">
        <v>26</v>
      </c>
      <c r="M165">
        <v>0</v>
      </c>
      <c r="N165">
        <v>8</v>
      </c>
      <c r="O165">
        <v>1</v>
      </c>
      <c r="P165">
        <v>1</v>
      </c>
      <c r="Q165">
        <v>81</v>
      </c>
      <c r="R165">
        <v>7</v>
      </c>
      <c r="AV165">
        <v>164</v>
      </c>
      <c r="AW165" t="s">
        <v>578</v>
      </c>
      <c r="CC165" t="s">
        <v>123</v>
      </c>
      <c r="CD165">
        <v>64</v>
      </c>
    </row>
    <row r="166" spans="1:82" x14ac:dyDescent="0.25">
      <c r="A166">
        <v>167</v>
      </c>
      <c r="B166" t="s">
        <v>62</v>
      </c>
      <c r="C166" t="s">
        <v>63</v>
      </c>
      <c r="D166" t="s">
        <v>20</v>
      </c>
      <c r="E166" t="s">
        <v>21</v>
      </c>
      <c r="F166" t="s">
        <v>38</v>
      </c>
      <c r="G166" t="s">
        <v>171</v>
      </c>
      <c r="H166">
        <v>2024</v>
      </c>
      <c r="I166">
        <v>8</v>
      </c>
      <c r="J166" t="s">
        <v>107</v>
      </c>
      <c r="K166" t="s">
        <v>25</v>
      </c>
      <c r="L166" t="s">
        <v>53</v>
      </c>
      <c r="M166">
        <v>1</v>
      </c>
      <c r="N166">
        <v>8</v>
      </c>
      <c r="O166">
        <v>0</v>
      </c>
      <c r="P166">
        <v>0</v>
      </c>
      <c r="Q166">
        <v>0</v>
      </c>
      <c r="R166">
        <v>0</v>
      </c>
      <c r="AV166">
        <v>165</v>
      </c>
      <c r="AW166" t="s">
        <v>577</v>
      </c>
      <c r="CC166" t="s">
        <v>63</v>
      </c>
      <c r="CD166">
        <v>60</v>
      </c>
    </row>
    <row r="167" spans="1:82" x14ac:dyDescent="0.25">
      <c r="A167">
        <v>168</v>
      </c>
      <c r="B167" t="s">
        <v>79</v>
      </c>
      <c r="C167" t="s">
        <v>80</v>
      </c>
      <c r="D167" t="s">
        <v>20</v>
      </c>
      <c r="E167" t="s">
        <v>54</v>
      </c>
      <c r="F167" t="s">
        <v>81</v>
      </c>
      <c r="G167" t="s">
        <v>131</v>
      </c>
      <c r="H167">
        <v>2025</v>
      </c>
      <c r="I167">
        <v>11</v>
      </c>
      <c r="J167" t="s">
        <v>74</v>
      </c>
      <c r="K167" t="s">
        <v>52</v>
      </c>
      <c r="L167" t="s">
        <v>45</v>
      </c>
      <c r="M167">
        <v>1</v>
      </c>
      <c r="N167">
        <v>8</v>
      </c>
      <c r="O167">
        <v>0</v>
      </c>
      <c r="P167">
        <v>0</v>
      </c>
      <c r="Q167">
        <v>0</v>
      </c>
      <c r="R167">
        <v>0</v>
      </c>
      <c r="AV167">
        <v>166</v>
      </c>
      <c r="AW167" t="s">
        <v>578</v>
      </c>
      <c r="CC167" t="s">
        <v>80</v>
      </c>
      <c r="CD167">
        <v>95</v>
      </c>
    </row>
    <row r="168" spans="1:82" x14ac:dyDescent="0.25">
      <c r="A168">
        <v>169</v>
      </c>
      <c r="B168" t="s">
        <v>42</v>
      </c>
      <c r="C168" t="s">
        <v>43</v>
      </c>
      <c r="D168" t="s">
        <v>36</v>
      </c>
      <c r="E168" t="s">
        <v>37</v>
      </c>
      <c r="F168" t="s">
        <v>22</v>
      </c>
      <c r="G168" t="s">
        <v>221</v>
      </c>
      <c r="H168">
        <v>2024</v>
      </c>
      <c r="I168">
        <v>5</v>
      </c>
      <c r="J168" t="s">
        <v>47</v>
      </c>
      <c r="K168" t="s">
        <v>48</v>
      </c>
      <c r="L168" t="s">
        <v>61</v>
      </c>
      <c r="M168">
        <v>0</v>
      </c>
      <c r="N168">
        <v>8</v>
      </c>
      <c r="O168">
        <v>1</v>
      </c>
      <c r="P168">
        <v>0</v>
      </c>
      <c r="Q168">
        <v>79</v>
      </c>
      <c r="R168">
        <v>7</v>
      </c>
      <c r="AV168">
        <v>167</v>
      </c>
      <c r="AW168" t="s">
        <v>577</v>
      </c>
      <c r="CC168" t="s">
        <v>43</v>
      </c>
      <c r="CD168">
        <v>66</v>
      </c>
    </row>
    <row r="169" spans="1:82" x14ac:dyDescent="0.25">
      <c r="A169">
        <v>170</v>
      </c>
      <c r="B169" t="s">
        <v>122</v>
      </c>
      <c r="C169" t="s">
        <v>123</v>
      </c>
      <c r="D169" t="s">
        <v>20</v>
      </c>
      <c r="E169" t="s">
        <v>49</v>
      </c>
      <c r="F169" t="s">
        <v>71</v>
      </c>
      <c r="G169" t="s">
        <v>222</v>
      </c>
      <c r="H169">
        <v>2024</v>
      </c>
      <c r="I169">
        <v>5</v>
      </c>
      <c r="J169" t="s">
        <v>47</v>
      </c>
      <c r="K169" t="s">
        <v>48</v>
      </c>
      <c r="L169" t="s">
        <v>33</v>
      </c>
      <c r="M169">
        <v>0</v>
      </c>
      <c r="N169">
        <v>8</v>
      </c>
      <c r="O169">
        <v>1</v>
      </c>
      <c r="P169">
        <v>2</v>
      </c>
      <c r="Q169">
        <v>90</v>
      </c>
      <c r="R169">
        <v>1</v>
      </c>
      <c r="AV169">
        <v>168</v>
      </c>
      <c r="AW169" t="s">
        <v>578</v>
      </c>
      <c r="CC169" t="s">
        <v>123</v>
      </c>
      <c r="CD169">
        <v>85</v>
      </c>
    </row>
    <row r="170" spans="1:82" x14ac:dyDescent="0.25">
      <c r="A170">
        <v>171</v>
      </c>
      <c r="B170" t="s">
        <v>65</v>
      </c>
      <c r="C170" t="s">
        <v>66</v>
      </c>
      <c r="D170" t="s">
        <v>36</v>
      </c>
      <c r="E170" t="s">
        <v>37</v>
      </c>
      <c r="F170" t="s">
        <v>38</v>
      </c>
      <c r="G170" t="s">
        <v>223</v>
      </c>
      <c r="H170">
        <v>2024</v>
      </c>
      <c r="I170">
        <v>10</v>
      </c>
      <c r="J170" t="s">
        <v>105</v>
      </c>
      <c r="K170" t="s">
        <v>52</v>
      </c>
      <c r="L170" t="s">
        <v>26</v>
      </c>
      <c r="M170">
        <v>0</v>
      </c>
      <c r="N170">
        <v>8</v>
      </c>
      <c r="O170">
        <v>0</v>
      </c>
      <c r="P170">
        <v>0</v>
      </c>
      <c r="Q170">
        <v>0</v>
      </c>
      <c r="R170">
        <v>0</v>
      </c>
      <c r="AV170">
        <v>169</v>
      </c>
      <c r="AW170" t="s">
        <v>578</v>
      </c>
      <c r="CC170" t="s">
        <v>66</v>
      </c>
      <c r="CD170">
        <v>95</v>
      </c>
    </row>
    <row r="171" spans="1:82" x14ac:dyDescent="0.25">
      <c r="A171">
        <v>172</v>
      </c>
      <c r="B171" t="s">
        <v>18</v>
      </c>
      <c r="C171" t="s">
        <v>19</v>
      </c>
      <c r="D171" t="s">
        <v>20</v>
      </c>
      <c r="E171" t="s">
        <v>29</v>
      </c>
      <c r="F171" t="s">
        <v>22</v>
      </c>
      <c r="G171" t="s">
        <v>224</v>
      </c>
      <c r="H171">
        <v>2025</v>
      </c>
      <c r="I171">
        <v>7</v>
      </c>
      <c r="J171" t="s">
        <v>32</v>
      </c>
      <c r="K171" t="s">
        <v>25</v>
      </c>
      <c r="L171" t="s">
        <v>33</v>
      </c>
      <c r="M171">
        <v>0</v>
      </c>
      <c r="N171">
        <v>8</v>
      </c>
      <c r="O171">
        <v>1</v>
      </c>
      <c r="P171">
        <v>1</v>
      </c>
      <c r="Q171">
        <v>62</v>
      </c>
      <c r="R171">
        <v>1</v>
      </c>
      <c r="AV171">
        <v>170</v>
      </c>
      <c r="AW171" t="s">
        <v>578</v>
      </c>
      <c r="CC171" t="s">
        <v>19</v>
      </c>
      <c r="CD171">
        <v>80</v>
      </c>
    </row>
    <row r="172" spans="1:82" x14ac:dyDescent="0.25">
      <c r="A172">
        <v>173</v>
      </c>
      <c r="B172" t="s">
        <v>57</v>
      </c>
      <c r="C172" t="s">
        <v>58</v>
      </c>
      <c r="D172" t="s">
        <v>36</v>
      </c>
      <c r="E172" t="s">
        <v>29</v>
      </c>
      <c r="F172" t="s">
        <v>59</v>
      </c>
      <c r="G172" t="s">
        <v>225</v>
      </c>
      <c r="H172">
        <v>2024</v>
      </c>
      <c r="I172">
        <v>4</v>
      </c>
      <c r="J172" t="s">
        <v>89</v>
      </c>
      <c r="K172" t="s">
        <v>48</v>
      </c>
      <c r="L172" t="s">
        <v>53</v>
      </c>
      <c r="M172">
        <v>1</v>
      </c>
      <c r="N172">
        <v>8</v>
      </c>
      <c r="O172">
        <v>1</v>
      </c>
      <c r="P172">
        <v>3</v>
      </c>
      <c r="Q172">
        <v>71</v>
      </c>
      <c r="R172">
        <v>6</v>
      </c>
      <c r="AV172">
        <v>171</v>
      </c>
      <c r="AW172" t="s">
        <v>577</v>
      </c>
      <c r="CC172" t="s">
        <v>58</v>
      </c>
      <c r="CD172">
        <v>75</v>
      </c>
    </row>
    <row r="173" spans="1:82" x14ac:dyDescent="0.25">
      <c r="A173">
        <v>174</v>
      </c>
      <c r="B173" t="s">
        <v>57</v>
      </c>
      <c r="C173" t="s">
        <v>58</v>
      </c>
      <c r="D173" t="s">
        <v>36</v>
      </c>
      <c r="E173" t="s">
        <v>29</v>
      </c>
      <c r="F173" t="s">
        <v>59</v>
      </c>
      <c r="G173" t="s">
        <v>126</v>
      </c>
      <c r="H173">
        <v>2024</v>
      </c>
      <c r="I173">
        <v>10</v>
      </c>
      <c r="J173" t="s">
        <v>105</v>
      </c>
      <c r="K173" t="s">
        <v>52</v>
      </c>
      <c r="L173" t="s">
        <v>61</v>
      </c>
      <c r="M173">
        <v>0</v>
      </c>
      <c r="N173">
        <v>8</v>
      </c>
      <c r="O173">
        <v>0</v>
      </c>
      <c r="P173">
        <v>0</v>
      </c>
      <c r="Q173">
        <v>0</v>
      </c>
      <c r="R173">
        <v>0</v>
      </c>
      <c r="AV173">
        <v>172</v>
      </c>
      <c r="AW173" t="s">
        <v>577</v>
      </c>
      <c r="CC173" t="s">
        <v>58</v>
      </c>
      <c r="CD173">
        <v>63</v>
      </c>
    </row>
    <row r="174" spans="1:82" x14ac:dyDescent="0.25">
      <c r="A174">
        <v>175</v>
      </c>
      <c r="B174" t="s">
        <v>69</v>
      </c>
      <c r="C174" t="s">
        <v>70</v>
      </c>
      <c r="D174" t="s">
        <v>36</v>
      </c>
      <c r="E174" t="s">
        <v>29</v>
      </c>
      <c r="F174" t="s">
        <v>71</v>
      </c>
      <c r="G174" t="s">
        <v>226</v>
      </c>
      <c r="H174">
        <v>2025</v>
      </c>
      <c r="I174">
        <v>11</v>
      </c>
      <c r="J174" t="s">
        <v>74</v>
      </c>
      <c r="K174" t="s">
        <v>52</v>
      </c>
      <c r="L174" t="s">
        <v>26</v>
      </c>
      <c r="M174">
        <v>0</v>
      </c>
      <c r="N174">
        <v>8</v>
      </c>
      <c r="O174">
        <v>0</v>
      </c>
      <c r="P174">
        <v>0</v>
      </c>
      <c r="Q174">
        <v>0</v>
      </c>
      <c r="R174">
        <v>0</v>
      </c>
      <c r="AV174">
        <v>173</v>
      </c>
      <c r="AW174" t="s">
        <v>577</v>
      </c>
      <c r="CC174" t="s">
        <v>70</v>
      </c>
      <c r="CD174">
        <v>87</v>
      </c>
    </row>
    <row r="175" spans="1:82" x14ac:dyDescent="0.25">
      <c r="A175">
        <v>176</v>
      </c>
      <c r="B175" t="s">
        <v>57</v>
      </c>
      <c r="C175" t="s">
        <v>58</v>
      </c>
      <c r="D175" t="s">
        <v>36</v>
      </c>
      <c r="E175" t="s">
        <v>54</v>
      </c>
      <c r="F175" t="s">
        <v>59</v>
      </c>
      <c r="G175" t="s">
        <v>227</v>
      </c>
      <c r="H175">
        <v>2024</v>
      </c>
      <c r="I175">
        <v>7</v>
      </c>
      <c r="J175" t="s">
        <v>32</v>
      </c>
      <c r="K175" t="s">
        <v>25</v>
      </c>
      <c r="L175" t="s">
        <v>53</v>
      </c>
      <c r="M175">
        <v>1</v>
      </c>
      <c r="N175">
        <v>8</v>
      </c>
      <c r="O175">
        <v>1</v>
      </c>
      <c r="P175">
        <v>3</v>
      </c>
      <c r="Q175">
        <v>90</v>
      </c>
      <c r="R175">
        <v>1</v>
      </c>
      <c r="AV175">
        <v>174</v>
      </c>
      <c r="AW175" t="s">
        <v>578</v>
      </c>
      <c r="CC175" t="s">
        <v>58</v>
      </c>
      <c r="CD175">
        <v>61</v>
      </c>
    </row>
    <row r="176" spans="1:82" x14ac:dyDescent="0.25">
      <c r="A176">
        <v>177</v>
      </c>
      <c r="B176" t="s">
        <v>79</v>
      </c>
      <c r="C176" t="s">
        <v>80</v>
      </c>
      <c r="D176" t="s">
        <v>20</v>
      </c>
      <c r="E176" t="s">
        <v>49</v>
      </c>
      <c r="F176" t="s">
        <v>81</v>
      </c>
      <c r="G176" t="s">
        <v>228</v>
      </c>
      <c r="H176">
        <v>2024</v>
      </c>
      <c r="I176">
        <v>6</v>
      </c>
      <c r="J176" t="s">
        <v>76</v>
      </c>
      <c r="K176" t="s">
        <v>48</v>
      </c>
      <c r="L176" t="s">
        <v>53</v>
      </c>
      <c r="M176">
        <v>1</v>
      </c>
      <c r="N176">
        <v>8</v>
      </c>
      <c r="O176">
        <v>0</v>
      </c>
      <c r="P176">
        <v>0</v>
      </c>
      <c r="Q176">
        <v>0</v>
      </c>
      <c r="R176">
        <v>0</v>
      </c>
      <c r="AV176">
        <v>175</v>
      </c>
      <c r="AW176" t="s">
        <v>577</v>
      </c>
      <c r="CC176" t="s">
        <v>80</v>
      </c>
      <c r="CD176">
        <v>64</v>
      </c>
    </row>
    <row r="177" spans="1:82" x14ac:dyDescent="0.25">
      <c r="A177">
        <v>178</v>
      </c>
      <c r="B177" t="s">
        <v>69</v>
      </c>
      <c r="C177" t="s">
        <v>70</v>
      </c>
      <c r="D177" t="s">
        <v>36</v>
      </c>
      <c r="E177" t="s">
        <v>37</v>
      </c>
      <c r="F177" t="s">
        <v>71</v>
      </c>
      <c r="G177" t="s">
        <v>229</v>
      </c>
      <c r="H177">
        <v>2024</v>
      </c>
      <c r="I177">
        <v>12</v>
      </c>
      <c r="J177" t="s">
        <v>51</v>
      </c>
      <c r="K177" t="s">
        <v>52</v>
      </c>
      <c r="L177" t="s">
        <v>33</v>
      </c>
      <c r="M177">
        <v>0</v>
      </c>
      <c r="N177">
        <v>8</v>
      </c>
      <c r="O177">
        <v>1</v>
      </c>
      <c r="P177">
        <v>3</v>
      </c>
      <c r="Q177">
        <v>94</v>
      </c>
      <c r="R177">
        <v>0</v>
      </c>
      <c r="AV177">
        <v>176</v>
      </c>
      <c r="AW177" t="s">
        <v>577</v>
      </c>
      <c r="CC177" t="s">
        <v>70</v>
      </c>
      <c r="CD177">
        <v>94</v>
      </c>
    </row>
    <row r="178" spans="1:82" x14ac:dyDescent="0.25">
      <c r="A178">
        <v>179</v>
      </c>
      <c r="B178" t="s">
        <v>79</v>
      </c>
      <c r="C178" t="s">
        <v>80</v>
      </c>
      <c r="D178" t="s">
        <v>20</v>
      </c>
      <c r="E178" t="s">
        <v>29</v>
      </c>
      <c r="F178" t="s">
        <v>81</v>
      </c>
      <c r="G178" t="s">
        <v>230</v>
      </c>
      <c r="H178">
        <v>2025</v>
      </c>
      <c r="I178">
        <v>7</v>
      </c>
      <c r="J178" t="s">
        <v>32</v>
      </c>
      <c r="K178" t="s">
        <v>25</v>
      </c>
      <c r="L178" t="s">
        <v>77</v>
      </c>
      <c r="M178">
        <v>0</v>
      </c>
      <c r="N178">
        <v>8</v>
      </c>
      <c r="O178">
        <v>0</v>
      </c>
      <c r="P178">
        <v>0</v>
      </c>
      <c r="Q178">
        <v>0</v>
      </c>
      <c r="R178">
        <v>0</v>
      </c>
      <c r="AV178">
        <v>177</v>
      </c>
      <c r="AW178" t="s">
        <v>577</v>
      </c>
      <c r="CC178" t="s">
        <v>80</v>
      </c>
      <c r="CD178">
        <v>90</v>
      </c>
    </row>
    <row r="179" spans="1:82" x14ac:dyDescent="0.25">
      <c r="A179">
        <v>180</v>
      </c>
      <c r="B179" t="s">
        <v>62</v>
      </c>
      <c r="C179" t="s">
        <v>63</v>
      </c>
      <c r="D179" t="s">
        <v>20</v>
      </c>
      <c r="E179" t="s">
        <v>29</v>
      </c>
      <c r="F179" t="s">
        <v>38</v>
      </c>
      <c r="G179" t="s">
        <v>231</v>
      </c>
      <c r="H179">
        <v>2024</v>
      </c>
      <c r="I179">
        <v>10</v>
      </c>
      <c r="J179" t="s">
        <v>105</v>
      </c>
      <c r="K179" t="s">
        <v>52</v>
      </c>
      <c r="L179" t="s">
        <v>61</v>
      </c>
      <c r="M179">
        <v>0</v>
      </c>
      <c r="N179">
        <v>8</v>
      </c>
      <c r="O179">
        <v>1</v>
      </c>
      <c r="P179">
        <v>2</v>
      </c>
      <c r="Q179">
        <v>61</v>
      </c>
      <c r="R179">
        <v>6</v>
      </c>
      <c r="AV179">
        <v>178</v>
      </c>
      <c r="AW179" t="s">
        <v>578</v>
      </c>
      <c r="CC179" t="s">
        <v>63</v>
      </c>
      <c r="CD179">
        <v>78</v>
      </c>
    </row>
    <row r="180" spans="1:82" x14ac:dyDescent="0.25">
      <c r="A180">
        <v>181</v>
      </c>
      <c r="B180" t="s">
        <v>69</v>
      </c>
      <c r="C180" t="s">
        <v>70</v>
      </c>
      <c r="D180" t="s">
        <v>36</v>
      </c>
      <c r="E180" t="s">
        <v>29</v>
      </c>
      <c r="F180" t="s">
        <v>71</v>
      </c>
      <c r="G180" t="s">
        <v>232</v>
      </c>
      <c r="H180">
        <v>2025</v>
      </c>
      <c r="I180">
        <v>8</v>
      </c>
      <c r="J180" t="s">
        <v>107</v>
      </c>
      <c r="K180" t="s">
        <v>25</v>
      </c>
      <c r="L180" t="s">
        <v>53</v>
      </c>
      <c r="M180">
        <v>1</v>
      </c>
      <c r="N180">
        <v>8</v>
      </c>
      <c r="O180">
        <v>0</v>
      </c>
      <c r="P180">
        <v>0</v>
      </c>
      <c r="Q180">
        <v>0</v>
      </c>
      <c r="R180">
        <v>0</v>
      </c>
      <c r="AV180">
        <v>179</v>
      </c>
      <c r="AW180" t="s">
        <v>577</v>
      </c>
      <c r="CC180" t="s">
        <v>70</v>
      </c>
      <c r="CD180">
        <v>72</v>
      </c>
    </row>
    <row r="181" spans="1:82" x14ac:dyDescent="0.25">
      <c r="A181">
        <v>182</v>
      </c>
      <c r="B181" t="s">
        <v>62</v>
      </c>
      <c r="C181" t="s">
        <v>63</v>
      </c>
      <c r="D181" t="s">
        <v>20</v>
      </c>
      <c r="E181" t="s">
        <v>29</v>
      </c>
      <c r="F181" t="s">
        <v>38</v>
      </c>
      <c r="G181" t="s">
        <v>88</v>
      </c>
      <c r="H181">
        <v>2025</v>
      </c>
      <c r="I181">
        <v>4</v>
      </c>
      <c r="J181" t="s">
        <v>89</v>
      </c>
      <c r="K181" t="s">
        <v>48</v>
      </c>
      <c r="L181" t="s">
        <v>45</v>
      </c>
      <c r="M181">
        <v>1</v>
      </c>
      <c r="N181">
        <v>8</v>
      </c>
      <c r="O181">
        <v>0</v>
      </c>
      <c r="P181">
        <v>0</v>
      </c>
      <c r="Q181">
        <v>0</v>
      </c>
      <c r="R181">
        <v>0</v>
      </c>
      <c r="AV181">
        <v>180</v>
      </c>
      <c r="AW181" t="s">
        <v>578</v>
      </c>
      <c r="CC181" t="s">
        <v>63</v>
      </c>
      <c r="CD181">
        <v>93</v>
      </c>
    </row>
    <row r="182" spans="1:82" x14ac:dyDescent="0.25">
      <c r="A182">
        <v>183</v>
      </c>
      <c r="B182" t="s">
        <v>65</v>
      </c>
      <c r="C182" t="s">
        <v>66</v>
      </c>
      <c r="D182" t="s">
        <v>36</v>
      </c>
      <c r="E182" t="s">
        <v>37</v>
      </c>
      <c r="F182" t="s">
        <v>38</v>
      </c>
      <c r="G182" t="s">
        <v>233</v>
      </c>
      <c r="H182">
        <v>2024</v>
      </c>
      <c r="I182">
        <v>7</v>
      </c>
      <c r="J182" t="s">
        <v>32</v>
      </c>
      <c r="K182" t="s">
        <v>25</v>
      </c>
      <c r="L182" t="s">
        <v>26</v>
      </c>
      <c r="M182">
        <v>0</v>
      </c>
      <c r="N182">
        <v>8</v>
      </c>
      <c r="O182">
        <v>1</v>
      </c>
      <c r="P182">
        <v>1</v>
      </c>
      <c r="Q182">
        <v>87</v>
      </c>
      <c r="R182">
        <v>4</v>
      </c>
      <c r="AV182">
        <v>181</v>
      </c>
      <c r="AW182" t="s">
        <v>578</v>
      </c>
      <c r="CC182" t="s">
        <v>66</v>
      </c>
      <c r="CD182">
        <v>83</v>
      </c>
    </row>
    <row r="183" spans="1:82" x14ac:dyDescent="0.25">
      <c r="A183">
        <v>184</v>
      </c>
      <c r="B183" t="s">
        <v>65</v>
      </c>
      <c r="C183" t="s">
        <v>66</v>
      </c>
      <c r="D183" t="s">
        <v>36</v>
      </c>
      <c r="E183" t="s">
        <v>21</v>
      </c>
      <c r="F183" t="s">
        <v>38</v>
      </c>
      <c r="G183" t="s">
        <v>234</v>
      </c>
      <c r="H183">
        <v>2025</v>
      </c>
      <c r="I183">
        <v>7</v>
      </c>
      <c r="J183" t="s">
        <v>32</v>
      </c>
      <c r="K183" t="s">
        <v>25</v>
      </c>
      <c r="L183" t="s">
        <v>45</v>
      </c>
      <c r="M183">
        <v>1</v>
      </c>
      <c r="N183">
        <v>8</v>
      </c>
      <c r="O183">
        <v>1</v>
      </c>
      <c r="P183">
        <v>0</v>
      </c>
      <c r="Q183">
        <v>79</v>
      </c>
      <c r="R183">
        <v>5</v>
      </c>
      <c r="AV183">
        <v>182</v>
      </c>
      <c r="AW183" t="s">
        <v>577</v>
      </c>
      <c r="CC183" t="s">
        <v>66</v>
      </c>
      <c r="CD183">
        <v>95</v>
      </c>
    </row>
    <row r="184" spans="1:82" x14ac:dyDescent="0.25">
      <c r="A184">
        <v>185</v>
      </c>
      <c r="B184" t="s">
        <v>122</v>
      </c>
      <c r="C184" t="s">
        <v>123</v>
      </c>
      <c r="D184" t="s">
        <v>20</v>
      </c>
      <c r="E184" t="s">
        <v>21</v>
      </c>
      <c r="F184" t="s">
        <v>71</v>
      </c>
      <c r="G184" t="s">
        <v>140</v>
      </c>
      <c r="H184">
        <v>2025</v>
      </c>
      <c r="I184">
        <v>8</v>
      </c>
      <c r="J184" t="s">
        <v>107</v>
      </c>
      <c r="K184" t="s">
        <v>25</v>
      </c>
      <c r="L184" t="s">
        <v>85</v>
      </c>
      <c r="M184">
        <v>0</v>
      </c>
      <c r="N184">
        <v>8</v>
      </c>
      <c r="O184">
        <v>0</v>
      </c>
      <c r="P184">
        <v>0</v>
      </c>
      <c r="Q184">
        <v>0</v>
      </c>
      <c r="R184">
        <v>0</v>
      </c>
      <c r="AV184">
        <v>183</v>
      </c>
      <c r="AW184" t="s">
        <v>577</v>
      </c>
      <c r="CC184" t="s">
        <v>123</v>
      </c>
      <c r="CD184">
        <v>84</v>
      </c>
    </row>
    <row r="185" spans="1:82" x14ac:dyDescent="0.25">
      <c r="A185">
        <v>186</v>
      </c>
      <c r="B185" t="s">
        <v>57</v>
      </c>
      <c r="C185" t="s">
        <v>58</v>
      </c>
      <c r="D185" t="s">
        <v>36</v>
      </c>
      <c r="E185" t="s">
        <v>37</v>
      </c>
      <c r="F185" t="s">
        <v>59</v>
      </c>
      <c r="G185" t="s">
        <v>235</v>
      </c>
      <c r="H185">
        <v>2025</v>
      </c>
      <c r="I185">
        <v>6</v>
      </c>
      <c r="J185" t="s">
        <v>76</v>
      </c>
      <c r="K185" t="s">
        <v>48</v>
      </c>
      <c r="L185" t="s">
        <v>61</v>
      </c>
      <c r="M185">
        <v>0</v>
      </c>
      <c r="N185">
        <v>8</v>
      </c>
      <c r="O185">
        <v>1</v>
      </c>
      <c r="P185">
        <v>1</v>
      </c>
      <c r="Q185">
        <v>65</v>
      </c>
      <c r="R185">
        <v>9</v>
      </c>
      <c r="AV185">
        <v>184</v>
      </c>
      <c r="AW185" t="s">
        <v>577</v>
      </c>
      <c r="CC185" t="s">
        <v>58</v>
      </c>
      <c r="CD185">
        <v>94</v>
      </c>
    </row>
    <row r="186" spans="1:82" x14ac:dyDescent="0.25">
      <c r="A186">
        <v>187</v>
      </c>
      <c r="B186" t="s">
        <v>57</v>
      </c>
      <c r="C186" t="s">
        <v>58</v>
      </c>
      <c r="D186" t="s">
        <v>36</v>
      </c>
      <c r="E186" t="s">
        <v>29</v>
      </c>
      <c r="F186" t="s">
        <v>59</v>
      </c>
      <c r="G186" t="s">
        <v>236</v>
      </c>
      <c r="H186">
        <v>2025</v>
      </c>
      <c r="I186">
        <v>4</v>
      </c>
      <c r="J186" t="s">
        <v>89</v>
      </c>
      <c r="K186" t="s">
        <v>48</v>
      </c>
      <c r="L186" t="s">
        <v>53</v>
      </c>
      <c r="M186">
        <v>1</v>
      </c>
      <c r="N186">
        <v>8</v>
      </c>
      <c r="O186">
        <v>1</v>
      </c>
      <c r="P186">
        <v>2</v>
      </c>
      <c r="Q186">
        <v>63</v>
      </c>
      <c r="R186">
        <v>4</v>
      </c>
      <c r="AV186">
        <v>185</v>
      </c>
      <c r="AW186" t="s">
        <v>577</v>
      </c>
      <c r="CC186" t="s">
        <v>58</v>
      </c>
      <c r="CD186">
        <v>90</v>
      </c>
    </row>
    <row r="187" spans="1:82" x14ac:dyDescent="0.25">
      <c r="A187">
        <v>188</v>
      </c>
      <c r="B187" t="s">
        <v>57</v>
      </c>
      <c r="C187" t="s">
        <v>58</v>
      </c>
      <c r="D187" t="s">
        <v>36</v>
      </c>
      <c r="E187" t="s">
        <v>21</v>
      </c>
      <c r="F187" t="s">
        <v>59</v>
      </c>
      <c r="G187" t="s">
        <v>237</v>
      </c>
      <c r="H187">
        <v>2025</v>
      </c>
      <c r="I187">
        <v>11</v>
      </c>
      <c r="J187" t="s">
        <v>74</v>
      </c>
      <c r="K187" t="s">
        <v>52</v>
      </c>
      <c r="L187" t="s">
        <v>33</v>
      </c>
      <c r="M187">
        <v>0</v>
      </c>
      <c r="N187">
        <v>8</v>
      </c>
      <c r="O187">
        <v>1</v>
      </c>
      <c r="P187">
        <v>0</v>
      </c>
      <c r="Q187">
        <v>65</v>
      </c>
      <c r="R187">
        <v>5</v>
      </c>
      <c r="AV187">
        <v>186</v>
      </c>
      <c r="AW187" t="s">
        <v>577</v>
      </c>
      <c r="CC187" t="s">
        <v>58</v>
      </c>
      <c r="CD187">
        <v>63</v>
      </c>
    </row>
    <row r="188" spans="1:82" x14ac:dyDescent="0.25">
      <c r="A188">
        <v>189</v>
      </c>
      <c r="B188" t="s">
        <v>57</v>
      </c>
      <c r="C188" t="s">
        <v>58</v>
      </c>
      <c r="D188" t="s">
        <v>36</v>
      </c>
      <c r="E188" t="s">
        <v>37</v>
      </c>
      <c r="F188" t="s">
        <v>59</v>
      </c>
      <c r="G188" t="s">
        <v>238</v>
      </c>
      <c r="H188">
        <v>2024</v>
      </c>
      <c r="I188">
        <v>8</v>
      </c>
      <c r="J188" t="s">
        <v>107</v>
      </c>
      <c r="K188" t="s">
        <v>25</v>
      </c>
      <c r="L188" t="s">
        <v>85</v>
      </c>
      <c r="M188">
        <v>0</v>
      </c>
      <c r="N188">
        <v>8</v>
      </c>
      <c r="O188">
        <v>0</v>
      </c>
      <c r="P188">
        <v>0</v>
      </c>
      <c r="Q188">
        <v>0</v>
      </c>
      <c r="R188">
        <v>0</v>
      </c>
      <c r="AV188">
        <v>187</v>
      </c>
      <c r="AW188" t="s">
        <v>578</v>
      </c>
      <c r="CC188" t="s">
        <v>58</v>
      </c>
      <c r="CD188">
        <v>89</v>
      </c>
    </row>
    <row r="189" spans="1:82" x14ac:dyDescent="0.25">
      <c r="A189">
        <v>190</v>
      </c>
      <c r="B189" t="s">
        <v>57</v>
      </c>
      <c r="C189" t="s">
        <v>58</v>
      </c>
      <c r="D189" t="s">
        <v>36</v>
      </c>
      <c r="E189" t="s">
        <v>54</v>
      </c>
      <c r="F189" t="s">
        <v>59</v>
      </c>
      <c r="G189" t="s">
        <v>239</v>
      </c>
      <c r="H189">
        <v>2024</v>
      </c>
      <c r="I189">
        <v>9</v>
      </c>
      <c r="J189" t="s">
        <v>24</v>
      </c>
      <c r="K189" t="s">
        <v>25</v>
      </c>
      <c r="L189" t="s">
        <v>53</v>
      </c>
      <c r="M189">
        <v>1</v>
      </c>
      <c r="N189">
        <v>8</v>
      </c>
      <c r="O189">
        <v>1</v>
      </c>
      <c r="P189">
        <v>2</v>
      </c>
      <c r="Q189">
        <v>86</v>
      </c>
      <c r="R189">
        <v>9</v>
      </c>
      <c r="AV189">
        <v>188</v>
      </c>
      <c r="AW189" t="s">
        <v>577</v>
      </c>
      <c r="CC189" t="s">
        <v>58</v>
      </c>
      <c r="CD189">
        <v>60</v>
      </c>
    </row>
    <row r="190" spans="1:82" x14ac:dyDescent="0.25">
      <c r="A190">
        <v>191</v>
      </c>
      <c r="B190" t="s">
        <v>69</v>
      </c>
      <c r="C190" t="s">
        <v>70</v>
      </c>
      <c r="D190" t="s">
        <v>36</v>
      </c>
      <c r="E190" t="s">
        <v>54</v>
      </c>
      <c r="F190" t="s">
        <v>71</v>
      </c>
      <c r="G190" t="s">
        <v>240</v>
      </c>
      <c r="H190">
        <v>2025</v>
      </c>
      <c r="I190">
        <v>5</v>
      </c>
      <c r="J190" t="s">
        <v>47</v>
      </c>
      <c r="K190" t="s">
        <v>48</v>
      </c>
      <c r="L190" t="s">
        <v>33</v>
      </c>
      <c r="M190">
        <v>0</v>
      </c>
      <c r="N190">
        <v>8</v>
      </c>
      <c r="O190">
        <v>0</v>
      </c>
      <c r="P190">
        <v>0</v>
      </c>
      <c r="Q190">
        <v>0</v>
      </c>
      <c r="R190">
        <v>0</v>
      </c>
      <c r="AV190">
        <v>189</v>
      </c>
      <c r="AW190" t="s">
        <v>577</v>
      </c>
      <c r="CC190" t="s">
        <v>70</v>
      </c>
      <c r="CD190">
        <v>60</v>
      </c>
    </row>
    <row r="191" spans="1:82" x14ac:dyDescent="0.25">
      <c r="A191">
        <v>192</v>
      </c>
      <c r="B191" t="s">
        <v>122</v>
      </c>
      <c r="C191" t="s">
        <v>123</v>
      </c>
      <c r="D191" t="s">
        <v>20</v>
      </c>
      <c r="E191" t="s">
        <v>54</v>
      </c>
      <c r="F191" t="s">
        <v>71</v>
      </c>
      <c r="G191" t="s">
        <v>241</v>
      </c>
      <c r="H191">
        <v>2024</v>
      </c>
      <c r="I191">
        <v>7</v>
      </c>
      <c r="J191" t="s">
        <v>32</v>
      </c>
      <c r="K191" t="s">
        <v>25</v>
      </c>
      <c r="L191" t="s">
        <v>61</v>
      </c>
      <c r="M191">
        <v>0</v>
      </c>
      <c r="N191">
        <v>8</v>
      </c>
      <c r="O191">
        <v>0</v>
      </c>
      <c r="P191">
        <v>0</v>
      </c>
      <c r="Q191">
        <v>0</v>
      </c>
      <c r="R191">
        <v>0</v>
      </c>
      <c r="AV191">
        <v>190</v>
      </c>
      <c r="AW191" t="s">
        <v>578</v>
      </c>
      <c r="CC191" t="s">
        <v>123</v>
      </c>
      <c r="CD191">
        <v>72</v>
      </c>
    </row>
    <row r="192" spans="1:82" x14ac:dyDescent="0.25">
      <c r="A192">
        <v>193</v>
      </c>
      <c r="B192" t="s">
        <v>18</v>
      </c>
      <c r="C192" t="s">
        <v>19</v>
      </c>
      <c r="D192" t="s">
        <v>20</v>
      </c>
      <c r="E192" t="s">
        <v>49</v>
      </c>
      <c r="F192" t="s">
        <v>22</v>
      </c>
      <c r="G192" t="s">
        <v>39</v>
      </c>
      <c r="H192">
        <v>2024</v>
      </c>
      <c r="I192">
        <v>3</v>
      </c>
      <c r="J192" t="s">
        <v>40</v>
      </c>
      <c r="K192" t="s">
        <v>41</v>
      </c>
      <c r="L192" t="s">
        <v>26</v>
      </c>
      <c r="M192">
        <v>0</v>
      </c>
      <c r="N192">
        <v>8</v>
      </c>
      <c r="O192">
        <v>0</v>
      </c>
      <c r="P192">
        <v>0</v>
      </c>
      <c r="Q192">
        <v>0</v>
      </c>
      <c r="R192">
        <v>0</v>
      </c>
      <c r="AV192">
        <v>191</v>
      </c>
      <c r="AW192" t="s">
        <v>577</v>
      </c>
      <c r="CC192" t="s">
        <v>19</v>
      </c>
      <c r="CD192">
        <v>68</v>
      </c>
    </row>
    <row r="193" spans="1:82" x14ac:dyDescent="0.25">
      <c r="A193">
        <v>194</v>
      </c>
      <c r="B193" t="s">
        <v>122</v>
      </c>
      <c r="C193" t="s">
        <v>123</v>
      </c>
      <c r="D193" t="s">
        <v>20</v>
      </c>
      <c r="E193" t="s">
        <v>49</v>
      </c>
      <c r="F193" t="s">
        <v>71</v>
      </c>
      <c r="G193" t="s">
        <v>242</v>
      </c>
      <c r="H193">
        <v>2025</v>
      </c>
      <c r="I193">
        <v>8</v>
      </c>
      <c r="J193" t="s">
        <v>107</v>
      </c>
      <c r="K193" t="s">
        <v>25</v>
      </c>
      <c r="L193" t="s">
        <v>85</v>
      </c>
      <c r="M193">
        <v>0</v>
      </c>
      <c r="N193">
        <v>8</v>
      </c>
      <c r="O193">
        <v>0</v>
      </c>
      <c r="P193">
        <v>0</v>
      </c>
      <c r="Q193">
        <v>0</v>
      </c>
      <c r="R193">
        <v>0</v>
      </c>
      <c r="AV193">
        <v>192</v>
      </c>
      <c r="AW193" t="s">
        <v>577</v>
      </c>
      <c r="CC193" t="s">
        <v>123</v>
      </c>
      <c r="CD193">
        <v>95</v>
      </c>
    </row>
    <row r="194" spans="1:82" x14ac:dyDescent="0.25">
      <c r="A194">
        <v>195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G194" t="s">
        <v>160</v>
      </c>
      <c r="H194">
        <v>2025</v>
      </c>
      <c r="I194">
        <v>10</v>
      </c>
      <c r="J194" t="s">
        <v>105</v>
      </c>
      <c r="K194" t="s">
        <v>52</v>
      </c>
      <c r="L194" t="s">
        <v>45</v>
      </c>
      <c r="M194">
        <v>1</v>
      </c>
      <c r="N194">
        <v>8</v>
      </c>
      <c r="O194">
        <v>0</v>
      </c>
      <c r="P194">
        <v>0</v>
      </c>
      <c r="Q194">
        <v>0</v>
      </c>
      <c r="R194">
        <v>0</v>
      </c>
      <c r="AV194">
        <v>193</v>
      </c>
      <c r="AW194" t="s">
        <v>577</v>
      </c>
      <c r="CC194" t="s">
        <v>19</v>
      </c>
      <c r="CD194">
        <v>63</v>
      </c>
    </row>
    <row r="195" spans="1:82" x14ac:dyDescent="0.25">
      <c r="A195">
        <v>196</v>
      </c>
      <c r="B195" t="s">
        <v>79</v>
      </c>
      <c r="C195" t="s">
        <v>80</v>
      </c>
      <c r="D195" t="s">
        <v>20</v>
      </c>
      <c r="E195" t="s">
        <v>37</v>
      </c>
      <c r="F195" t="s">
        <v>81</v>
      </c>
      <c r="G195" t="s">
        <v>243</v>
      </c>
      <c r="H195">
        <v>2025</v>
      </c>
      <c r="I195">
        <v>9</v>
      </c>
      <c r="J195" t="s">
        <v>24</v>
      </c>
      <c r="K195" t="s">
        <v>25</v>
      </c>
      <c r="L195" t="s">
        <v>45</v>
      </c>
      <c r="M195">
        <v>1</v>
      </c>
      <c r="N195">
        <v>8</v>
      </c>
      <c r="O195">
        <v>0</v>
      </c>
      <c r="P195">
        <v>0</v>
      </c>
      <c r="Q195">
        <v>0</v>
      </c>
      <c r="R195">
        <v>0</v>
      </c>
      <c r="AV195">
        <v>194</v>
      </c>
      <c r="AW195" t="s">
        <v>577</v>
      </c>
      <c r="CC195" t="s">
        <v>80</v>
      </c>
      <c r="CD195">
        <v>86</v>
      </c>
    </row>
    <row r="196" spans="1:82" x14ac:dyDescent="0.25">
      <c r="A196">
        <v>197</v>
      </c>
      <c r="B196" t="s">
        <v>57</v>
      </c>
      <c r="C196" t="s">
        <v>58</v>
      </c>
      <c r="D196" t="s">
        <v>36</v>
      </c>
      <c r="E196" t="s">
        <v>37</v>
      </c>
      <c r="F196" t="s">
        <v>59</v>
      </c>
      <c r="G196" t="s">
        <v>244</v>
      </c>
      <c r="H196">
        <v>2025</v>
      </c>
      <c r="I196">
        <v>3</v>
      </c>
      <c r="J196" t="s">
        <v>40</v>
      </c>
      <c r="K196" t="s">
        <v>41</v>
      </c>
      <c r="L196" t="s">
        <v>77</v>
      </c>
      <c r="M196">
        <v>0</v>
      </c>
      <c r="N196">
        <v>8</v>
      </c>
      <c r="O196">
        <v>0</v>
      </c>
      <c r="P196">
        <v>0</v>
      </c>
      <c r="Q196">
        <v>0</v>
      </c>
      <c r="R196">
        <v>0</v>
      </c>
      <c r="AV196">
        <v>195</v>
      </c>
      <c r="AW196" t="s">
        <v>578</v>
      </c>
      <c r="CC196" t="s">
        <v>58</v>
      </c>
      <c r="CD196">
        <v>78</v>
      </c>
    </row>
    <row r="197" spans="1:82" x14ac:dyDescent="0.25">
      <c r="A197">
        <v>198</v>
      </c>
      <c r="B197" t="s">
        <v>57</v>
      </c>
      <c r="C197" t="s">
        <v>58</v>
      </c>
      <c r="D197" t="s">
        <v>36</v>
      </c>
      <c r="E197" t="s">
        <v>29</v>
      </c>
      <c r="F197" t="s">
        <v>59</v>
      </c>
      <c r="G197" t="s">
        <v>245</v>
      </c>
      <c r="H197">
        <v>2024</v>
      </c>
      <c r="I197">
        <v>10</v>
      </c>
      <c r="J197" t="s">
        <v>105</v>
      </c>
      <c r="K197" t="s">
        <v>52</v>
      </c>
      <c r="L197" t="s">
        <v>85</v>
      </c>
      <c r="M197">
        <v>0</v>
      </c>
      <c r="N197">
        <v>8</v>
      </c>
      <c r="O197">
        <v>0</v>
      </c>
      <c r="P197">
        <v>0</v>
      </c>
      <c r="Q197">
        <v>0</v>
      </c>
      <c r="R197">
        <v>0</v>
      </c>
      <c r="AV197">
        <v>196</v>
      </c>
      <c r="AW197" t="s">
        <v>577</v>
      </c>
      <c r="CC197" t="s">
        <v>58</v>
      </c>
      <c r="CD197">
        <v>73</v>
      </c>
    </row>
    <row r="198" spans="1:82" x14ac:dyDescent="0.25">
      <c r="A198">
        <v>199</v>
      </c>
      <c r="B198" t="s">
        <v>79</v>
      </c>
      <c r="C198" t="s">
        <v>80</v>
      </c>
      <c r="D198" t="s">
        <v>20</v>
      </c>
      <c r="E198" t="s">
        <v>54</v>
      </c>
      <c r="F198" t="s">
        <v>81</v>
      </c>
      <c r="G198" t="s">
        <v>246</v>
      </c>
      <c r="H198">
        <v>2025</v>
      </c>
      <c r="I198">
        <v>2</v>
      </c>
      <c r="J198" t="s">
        <v>84</v>
      </c>
      <c r="K198" t="s">
        <v>41</v>
      </c>
      <c r="L198" t="s">
        <v>45</v>
      </c>
      <c r="M198">
        <v>1</v>
      </c>
      <c r="N198">
        <v>8</v>
      </c>
      <c r="O198">
        <v>1</v>
      </c>
      <c r="P198">
        <v>3</v>
      </c>
      <c r="Q198">
        <v>82</v>
      </c>
      <c r="R198">
        <v>8</v>
      </c>
      <c r="AV198">
        <v>197</v>
      </c>
      <c r="AW198" t="s">
        <v>577</v>
      </c>
      <c r="CC198" t="s">
        <v>80</v>
      </c>
      <c r="CD198">
        <v>80</v>
      </c>
    </row>
    <row r="199" spans="1:82" x14ac:dyDescent="0.25">
      <c r="A199">
        <v>200</v>
      </c>
      <c r="B199" t="s">
        <v>42</v>
      </c>
      <c r="C199" t="s">
        <v>43</v>
      </c>
      <c r="D199" t="s">
        <v>36</v>
      </c>
      <c r="E199" t="s">
        <v>37</v>
      </c>
      <c r="F199" t="s">
        <v>22</v>
      </c>
      <c r="G199" t="s">
        <v>151</v>
      </c>
      <c r="H199">
        <v>2024</v>
      </c>
      <c r="I199">
        <v>11</v>
      </c>
      <c r="J199" t="s">
        <v>74</v>
      </c>
      <c r="K199" t="s">
        <v>52</v>
      </c>
      <c r="L199" t="s">
        <v>45</v>
      </c>
      <c r="M199">
        <v>1</v>
      </c>
      <c r="N199">
        <v>8</v>
      </c>
      <c r="O199">
        <v>0</v>
      </c>
      <c r="P199">
        <v>0</v>
      </c>
      <c r="Q199">
        <v>0</v>
      </c>
      <c r="R199">
        <v>0</v>
      </c>
      <c r="AV199">
        <v>198</v>
      </c>
      <c r="AW199" t="s">
        <v>577</v>
      </c>
      <c r="CC199" t="s">
        <v>43</v>
      </c>
      <c r="CD199">
        <v>82</v>
      </c>
    </row>
    <row r="200" spans="1:82" x14ac:dyDescent="0.25">
      <c r="A200">
        <v>201</v>
      </c>
      <c r="B200" t="s">
        <v>65</v>
      </c>
      <c r="C200" t="s">
        <v>66</v>
      </c>
      <c r="D200" t="s">
        <v>36</v>
      </c>
      <c r="E200" t="s">
        <v>49</v>
      </c>
      <c r="F200" t="s">
        <v>38</v>
      </c>
      <c r="G200" t="s">
        <v>247</v>
      </c>
      <c r="H200">
        <v>2025</v>
      </c>
      <c r="I200">
        <v>8</v>
      </c>
      <c r="J200" t="s">
        <v>107</v>
      </c>
      <c r="K200" t="s">
        <v>25</v>
      </c>
      <c r="L200" t="s">
        <v>33</v>
      </c>
      <c r="M200">
        <v>0</v>
      </c>
      <c r="N200">
        <v>8</v>
      </c>
      <c r="O200">
        <v>0</v>
      </c>
      <c r="P200">
        <v>0</v>
      </c>
      <c r="Q200">
        <v>0</v>
      </c>
      <c r="R200">
        <v>0</v>
      </c>
      <c r="AV200">
        <v>199</v>
      </c>
      <c r="CC200" t="s">
        <v>66</v>
      </c>
      <c r="CD200">
        <v>67</v>
      </c>
    </row>
    <row r="201" spans="1:82" x14ac:dyDescent="0.25">
      <c r="A201">
        <v>202</v>
      </c>
      <c r="B201" t="s">
        <v>62</v>
      </c>
      <c r="C201" t="s">
        <v>63</v>
      </c>
      <c r="D201" t="s">
        <v>20</v>
      </c>
      <c r="E201" t="s">
        <v>54</v>
      </c>
      <c r="F201" t="s">
        <v>38</v>
      </c>
      <c r="G201" t="s">
        <v>248</v>
      </c>
      <c r="H201">
        <v>2024</v>
      </c>
      <c r="I201">
        <v>1</v>
      </c>
      <c r="J201" t="s">
        <v>68</v>
      </c>
      <c r="K201" t="s">
        <v>41</v>
      </c>
      <c r="L201" t="s">
        <v>85</v>
      </c>
      <c r="M201">
        <v>0</v>
      </c>
      <c r="N201">
        <v>8</v>
      </c>
      <c r="O201">
        <v>0</v>
      </c>
      <c r="P201">
        <v>0</v>
      </c>
      <c r="Q201">
        <v>0</v>
      </c>
      <c r="R201">
        <v>0</v>
      </c>
      <c r="AV201">
        <v>200</v>
      </c>
      <c r="CC201" t="s">
        <v>63</v>
      </c>
      <c r="CD201">
        <v>93</v>
      </c>
    </row>
    <row r="202" spans="1:82" x14ac:dyDescent="0.25">
      <c r="A202">
        <v>203</v>
      </c>
      <c r="B202" t="s">
        <v>27</v>
      </c>
      <c r="C202" t="s">
        <v>28</v>
      </c>
      <c r="D202" t="s">
        <v>20</v>
      </c>
      <c r="E202" t="s">
        <v>29</v>
      </c>
      <c r="F202" t="s">
        <v>30</v>
      </c>
      <c r="G202" t="s">
        <v>249</v>
      </c>
      <c r="H202">
        <v>2024</v>
      </c>
      <c r="I202">
        <v>10</v>
      </c>
      <c r="J202" t="s">
        <v>105</v>
      </c>
      <c r="K202" t="s">
        <v>52</v>
      </c>
      <c r="L202" t="s">
        <v>33</v>
      </c>
      <c r="M202">
        <v>0</v>
      </c>
      <c r="N202">
        <v>8</v>
      </c>
      <c r="O202">
        <v>1</v>
      </c>
      <c r="P202">
        <v>3</v>
      </c>
      <c r="Q202">
        <v>63</v>
      </c>
      <c r="R202">
        <v>5</v>
      </c>
      <c r="CC202" t="s">
        <v>28</v>
      </c>
      <c r="CD202">
        <v>75</v>
      </c>
    </row>
    <row r="203" spans="1:82" x14ac:dyDescent="0.25">
      <c r="A203">
        <v>204</v>
      </c>
      <c r="B203" t="s">
        <v>27</v>
      </c>
      <c r="C203" t="s">
        <v>28</v>
      </c>
      <c r="D203" t="s">
        <v>20</v>
      </c>
      <c r="E203" t="s">
        <v>29</v>
      </c>
      <c r="F203" t="s">
        <v>30</v>
      </c>
      <c r="G203" t="s">
        <v>250</v>
      </c>
      <c r="H203">
        <v>2024</v>
      </c>
      <c r="I203">
        <v>1</v>
      </c>
      <c r="J203" t="s">
        <v>68</v>
      </c>
      <c r="K203" t="s">
        <v>41</v>
      </c>
      <c r="L203" t="s">
        <v>33</v>
      </c>
      <c r="M203">
        <v>0</v>
      </c>
      <c r="N203">
        <v>8</v>
      </c>
      <c r="O203">
        <v>0</v>
      </c>
      <c r="P203">
        <v>0</v>
      </c>
      <c r="Q203">
        <v>0</v>
      </c>
      <c r="R203">
        <v>0</v>
      </c>
      <c r="CC203" t="s">
        <v>28</v>
      </c>
      <c r="CD203">
        <v>67</v>
      </c>
    </row>
    <row r="204" spans="1:82" x14ac:dyDescent="0.25">
      <c r="A204">
        <v>205</v>
      </c>
      <c r="B204" t="s">
        <v>34</v>
      </c>
      <c r="C204" t="s">
        <v>35</v>
      </c>
      <c r="D204" t="s">
        <v>36</v>
      </c>
      <c r="E204" t="s">
        <v>49</v>
      </c>
      <c r="F204" t="s">
        <v>38</v>
      </c>
      <c r="G204" t="s">
        <v>251</v>
      </c>
      <c r="H204">
        <v>2024</v>
      </c>
      <c r="I204">
        <v>4</v>
      </c>
      <c r="J204" t="s">
        <v>89</v>
      </c>
      <c r="K204" t="s">
        <v>48</v>
      </c>
      <c r="L204" t="s">
        <v>85</v>
      </c>
      <c r="M204">
        <v>0</v>
      </c>
      <c r="N204">
        <v>8</v>
      </c>
      <c r="O204">
        <v>1</v>
      </c>
      <c r="P204">
        <v>2</v>
      </c>
      <c r="Q204">
        <v>69</v>
      </c>
      <c r="R204">
        <v>6</v>
      </c>
      <c r="CC204" t="s">
        <v>35</v>
      </c>
      <c r="CD204">
        <v>81</v>
      </c>
    </row>
    <row r="205" spans="1:82" x14ac:dyDescent="0.25">
      <c r="A205">
        <v>206</v>
      </c>
      <c r="B205" t="s">
        <v>34</v>
      </c>
      <c r="C205" t="s">
        <v>35</v>
      </c>
      <c r="D205" t="s">
        <v>36</v>
      </c>
      <c r="E205" t="s">
        <v>21</v>
      </c>
      <c r="F205" t="s">
        <v>38</v>
      </c>
      <c r="G205" t="s">
        <v>252</v>
      </c>
      <c r="H205">
        <v>2025</v>
      </c>
      <c r="I205">
        <v>1</v>
      </c>
      <c r="J205" t="s">
        <v>68</v>
      </c>
      <c r="K205" t="s">
        <v>41</v>
      </c>
      <c r="L205" t="s">
        <v>61</v>
      </c>
      <c r="M205">
        <v>0</v>
      </c>
      <c r="N205">
        <v>8</v>
      </c>
      <c r="O205">
        <v>0</v>
      </c>
      <c r="P205">
        <v>0</v>
      </c>
      <c r="Q205">
        <v>0</v>
      </c>
      <c r="R205">
        <v>0</v>
      </c>
      <c r="CC205" t="s">
        <v>35</v>
      </c>
      <c r="CD205">
        <v>64</v>
      </c>
    </row>
    <row r="206" spans="1:82" x14ac:dyDescent="0.25">
      <c r="A206">
        <v>207</v>
      </c>
      <c r="B206" t="s">
        <v>122</v>
      </c>
      <c r="C206" t="s">
        <v>123</v>
      </c>
      <c r="D206" t="s">
        <v>20</v>
      </c>
      <c r="E206" t="s">
        <v>54</v>
      </c>
      <c r="F206" t="s">
        <v>71</v>
      </c>
      <c r="G206" t="s">
        <v>253</v>
      </c>
      <c r="H206">
        <v>2024</v>
      </c>
      <c r="I206">
        <v>5</v>
      </c>
      <c r="J206" t="s">
        <v>47</v>
      </c>
      <c r="K206" t="s">
        <v>48</v>
      </c>
      <c r="L206" t="s">
        <v>77</v>
      </c>
      <c r="M206">
        <v>0</v>
      </c>
      <c r="N206">
        <v>8</v>
      </c>
      <c r="O206">
        <v>0</v>
      </c>
      <c r="P206">
        <v>0</v>
      </c>
      <c r="Q206">
        <v>0</v>
      </c>
      <c r="R206">
        <v>0</v>
      </c>
      <c r="CC206" t="s">
        <v>123</v>
      </c>
      <c r="CD206">
        <v>63</v>
      </c>
    </row>
    <row r="207" spans="1:82" x14ac:dyDescent="0.25">
      <c r="A207">
        <v>208</v>
      </c>
      <c r="B207" t="s">
        <v>122</v>
      </c>
      <c r="C207" t="s">
        <v>123</v>
      </c>
      <c r="D207" t="s">
        <v>20</v>
      </c>
      <c r="E207" t="s">
        <v>21</v>
      </c>
      <c r="F207" t="s">
        <v>71</v>
      </c>
      <c r="G207" t="s">
        <v>254</v>
      </c>
      <c r="H207">
        <v>2024</v>
      </c>
      <c r="I207">
        <v>1</v>
      </c>
      <c r="J207" t="s">
        <v>68</v>
      </c>
      <c r="K207" t="s">
        <v>41</v>
      </c>
      <c r="L207" t="s">
        <v>85</v>
      </c>
      <c r="M207">
        <v>0</v>
      </c>
      <c r="N207">
        <v>8</v>
      </c>
      <c r="O207">
        <v>1</v>
      </c>
      <c r="P207">
        <v>1</v>
      </c>
      <c r="Q207">
        <v>87</v>
      </c>
      <c r="R207">
        <v>8</v>
      </c>
      <c r="CC207" t="s">
        <v>123</v>
      </c>
      <c r="CD207">
        <v>86</v>
      </c>
    </row>
    <row r="208" spans="1:82" x14ac:dyDescent="0.25">
      <c r="A208">
        <v>209</v>
      </c>
      <c r="B208" t="s">
        <v>122</v>
      </c>
      <c r="C208" t="s">
        <v>123</v>
      </c>
      <c r="D208" t="s">
        <v>20</v>
      </c>
      <c r="E208" t="s">
        <v>37</v>
      </c>
      <c r="F208" t="s">
        <v>71</v>
      </c>
      <c r="G208" t="s">
        <v>255</v>
      </c>
      <c r="H208">
        <v>2025</v>
      </c>
      <c r="I208">
        <v>11</v>
      </c>
      <c r="J208" t="s">
        <v>74</v>
      </c>
      <c r="K208" t="s">
        <v>52</v>
      </c>
      <c r="L208" t="s">
        <v>85</v>
      </c>
      <c r="M208">
        <v>0</v>
      </c>
      <c r="N208">
        <v>8</v>
      </c>
      <c r="O208">
        <v>1</v>
      </c>
      <c r="P208">
        <v>1</v>
      </c>
      <c r="Q208">
        <v>69</v>
      </c>
      <c r="R208">
        <v>7</v>
      </c>
      <c r="CC208" t="s">
        <v>123</v>
      </c>
      <c r="CD208">
        <v>77</v>
      </c>
    </row>
    <row r="209" spans="1:82" x14ac:dyDescent="0.25">
      <c r="A209">
        <v>210</v>
      </c>
      <c r="B209" t="s">
        <v>122</v>
      </c>
      <c r="C209" t="s">
        <v>123</v>
      </c>
      <c r="D209" t="s">
        <v>20</v>
      </c>
      <c r="E209" t="s">
        <v>54</v>
      </c>
      <c r="F209" t="s">
        <v>71</v>
      </c>
      <c r="G209" t="s">
        <v>256</v>
      </c>
      <c r="H209">
        <v>2024</v>
      </c>
      <c r="I209">
        <v>6</v>
      </c>
      <c r="J209" t="s">
        <v>76</v>
      </c>
      <c r="K209" t="s">
        <v>48</v>
      </c>
      <c r="L209" t="s">
        <v>26</v>
      </c>
      <c r="M209">
        <v>0</v>
      </c>
      <c r="N209">
        <v>8</v>
      </c>
      <c r="O209">
        <v>0</v>
      </c>
      <c r="P209">
        <v>0</v>
      </c>
      <c r="Q209">
        <v>0</v>
      </c>
      <c r="R209">
        <v>0</v>
      </c>
      <c r="CC209" t="s">
        <v>123</v>
      </c>
      <c r="CD209">
        <v>86</v>
      </c>
    </row>
    <row r="210" spans="1:82" x14ac:dyDescent="0.25">
      <c r="A210">
        <v>211</v>
      </c>
      <c r="B210" t="s">
        <v>122</v>
      </c>
      <c r="C210" t="s">
        <v>123</v>
      </c>
      <c r="D210" t="s">
        <v>20</v>
      </c>
      <c r="E210" t="s">
        <v>37</v>
      </c>
      <c r="F210" t="s">
        <v>71</v>
      </c>
      <c r="G210" t="s">
        <v>180</v>
      </c>
      <c r="H210">
        <v>2024</v>
      </c>
      <c r="I210">
        <v>8</v>
      </c>
      <c r="J210" t="s">
        <v>107</v>
      </c>
      <c r="K210" t="s">
        <v>25</v>
      </c>
      <c r="L210" t="s">
        <v>45</v>
      </c>
      <c r="M210">
        <v>1</v>
      </c>
      <c r="N210">
        <v>8</v>
      </c>
      <c r="O210">
        <v>0</v>
      </c>
      <c r="P210">
        <v>0</v>
      </c>
      <c r="Q210">
        <v>0</v>
      </c>
      <c r="R210">
        <v>0</v>
      </c>
      <c r="CC210" t="s">
        <v>123</v>
      </c>
      <c r="CD210">
        <v>92</v>
      </c>
    </row>
    <row r="211" spans="1:82" x14ac:dyDescent="0.25">
      <c r="A211">
        <v>212</v>
      </c>
      <c r="B211" t="s">
        <v>18</v>
      </c>
      <c r="C211" t="s">
        <v>19</v>
      </c>
      <c r="D211" t="s">
        <v>20</v>
      </c>
      <c r="E211" t="s">
        <v>37</v>
      </c>
      <c r="F211" t="s">
        <v>22</v>
      </c>
      <c r="G211" t="s">
        <v>257</v>
      </c>
      <c r="H211">
        <v>2024</v>
      </c>
      <c r="I211">
        <v>12</v>
      </c>
      <c r="J211" t="s">
        <v>51</v>
      </c>
      <c r="K211" t="s">
        <v>52</v>
      </c>
      <c r="L211" t="s">
        <v>61</v>
      </c>
      <c r="M211">
        <v>0</v>
      </c>
      <c r="N211">
        <v>8</v>
      </c>
      <c r="O211">
        <v>1</v>
      </c>
      <c r="P211">
        <v>1</v>
      </c>
      <c r="Q211">
        <v>67</v>
      </c>
      <c r="R211">
        <v>4</v>
      </c>
      <c r="CC211" t="s">
        <v>19</v>
      </c>
      <c r="CD211">
        <v>69</v>
      </c>
    </row>
    <row r="212" spans="1:82" x14ac:dyDescent="0.25">
      <c r="A212">
        <v>213</v>
      </c>
      <c r="B212" t="s">
        <v>34</v>
      </c>
      <c r="C212" t="s">
        <v>35</v>
      </c>
      <c r="D212" t="s">
        <v>36</v>
      </c>
      <c r="E212" t="s">
        <v>37</v>
      </c>
      <c r="F212" t="s">
        <v>38</v>
      </c>
      <c r="G212" t="s">
        <v>109</v>
      </c>
      <c r="H212">
        <v>2024</v>
      </c>
      <c r="I212">
        <v>8</v>
      </c>
      <c r="J212" t="s">
        <v>107</v>
      </c>
      <c r="K212" t="s">
        <v>25</v>
      </c>
      <c r="L212" t="s">
        <v>85</v>
      </c>
      <c r="M212">
        <v>0</v>
      </c>
      <c r="N212">
        <v>8</v>
      </c>
      <c r="O212">
        <v>0</v>
      </c>
      <c r="P212">
        <v>0</v>
      </c>
      <c r="Q212">
        <v>0</v>
      </c>
      <c r="R212">
        <v>0</v>
      </c>
      <c r="CC212" t="s">
        <v>35</v>
      </c>
      <c r="CD212">
        <v>78</v>
      </c>
    </row>
    <row r="213" spans="1:82" x14ac:dyDescent="0.25">
      <c r="A213">
        <v>214</v>
      </c>
      <c r="B213" t="s">
        <v>18</v>
      </c>
      <c r="C213" t="s">
        <v>19</v>
      </c>
      <c r="D213" t="s">
        <v>20</v>
      </c>
      <c r="E213" t="s">
        <v>54</v>
      </c>
      <c r="F213" t="s">
        <v>22</v>
      </c>
      <c r="G213" t="s">
        <v>142</v>
      </c>
      <c r="H213">
        <v>2025</v>
      </c>
      <c r="I213">
        <v>5</v>
      </c>
      <c r="J213" t="s">
        <v>47</v>
      </c>
      <c r="K213" t="s">
        <v>48</v>
      </c>
      <c r="L213" t="s">
        <v>33</v>
      </c>
      <c r="M213">
        <v>0</v>
      </c>
      <c r="N213">
        <v>8</v>
      </c>
      <c r="O213">
        <v>1</v>
      </c>
      <c r="P213">
        <v>3</v>
      </c>
      <c r="Q213">
        <v>85</v>
      </c>
      <c r="R213">
        <v>2</v>
      </c>
      <c r="CC213" t="s">
        <v>19</v>
      </c>
      <c r="CD213">
        <v>65</v>
      </c>
    </row>
    <row r="214" spans="1:82" x14ac:dyDescent="0.25">
      <c r="A214">
        <v>215</v>
      </c>
      <c r="B214" t="s">
        <v>34</v>
      </c>
      <c r="C214" t="s">
        <v>35</v>
      </c>
      <c r="D214" t="s">
        <v>36</v>
      </c>
      <c r="E214" t="s">
        <v>29</v>
      </c>
      <c r="F214" t="s">
        <v>38</v>
      </c>
      <c r="G214" t="s">
        <v>258</v>
      </c>
      <c r="H214">
        <v>2024</v>
      </c>
      <c r="I214">
        <v>2</v>
      </c>
      <c r="J214" t="s">
        <v>84</v>
      </c>
      <c r="K214" t="s">
        <v>41</v>
      </c>
      <c r="L214" t="s">
        <v>85</v>
      </c>
      <c r="M214">
        <v>0</v>
      </c>
      <c r="N214">
        <v>8</v>
      </c>
      <c r="O214">
        <v>0</v>
      </c>
      <c r="P214">
        <v>0</v>
      </c>
      <c r="Q214">
        <v>0</v>
      </c>
      <c r="R214">
        <v>0</v>
      </c>
      <c r="CC214" t="s">
        <v>35</v>
      </c>
      <c r="CD214">
        <v>93</v>
      </c>
    </row>
    <row r="215" spans="1:82" x14ac:dyDescent="0.25">
      <c r="A215">
        <v>216</v>
      </c>
      <c r="B215" t="s">
        <v>65</v>
      </c>
      <c r="C215" t="s">
        <v>66</v>
      </c>
      <c r="D215" t="s">
        <v>36</v>
      </c>
      <c r="E215" t="s">
        <v>49</v>
      </c>
      <c r="F215" t="s">
        <v>38</v>
      </c>
      <c r="G215" t="s">
        <v>78</v>
      </c>
      <c r="H215">
        <v>2024</v>
      </c>
      <c r="I215">
        <v>6</v>
      </c>
      <c r="J215" t="s">
        <v>76</v>
      </c>
      <c r="K215" t="s">
        <v>48</v>
      </c>
      <c r="L215" t="s">
        <v>61</v>
      </c>
      <c r="M215">
        <v>0</v>
      </c>
      <c r="N215">
        <v>8</v>
      </c>
      <c r="O215">
        <v>0</v>
      </c>
      <c r="P215">
        <v>0</v>
      </c>
      <c r="Q215">
        <v>0</v>
      </c>
      <c r="R215">
        <v>0</v>
      </c>
      <c r="CC215" t="s">
        <v>66</v>
      </c>
      <c r="CD215">
        <v>90</v>
      </c>
    </row>
    <row r="216" spans="1:82" x14ac:dyDescent="0.25">
      <c r="A216">
        <v>217</v>
      </c>
      <c r="B216" t="s">
        <v>18</v>
      </c>
      <c r="C216" t="s">
        <v>19</v>
      </c>
      <c r="D216" t="s">
        <v>20</v>
      </c>
      <c r="E216" t="s">
        <v>54</v>
      </c>
      <c r="F216" t="s">
        <v>22</v>
      </c>
      <c r="G216" t="s">
        <v>259</v>
      </c>
      <c r="H216">
        <v>2025</v>
      </c>
      <c r="I216">
        <v>6</v>
      </c>
      <c r="J216" t="s">
        <v>76</v>
      </c>
      <c r="K216" t="s">
        <v>48</v>
      </c>
      <c r="L216" t="s">
        <v>85</v>
      </c>
      <c r="M216">
        <v>0</v>
      </c>
      <c r="N216">
        <v>8</v>
      </c>
      <c r="O216">
        <v>1</v>
      </c>
      <c r="P216">
        <v>1</v>
      </c>
      <c r="Q216">
        <v>81</v>
      </c>
      <c r="R216">
        <v>0</v>
      </c>
      <c r="CC216" t="s">
        <v>19</v>
      </c>
      <c r="CD216">
        <v>90</v>
      </c>
    </row>
    <row r="217" spans="1:82" x14ac:dyDescent="0.25">
      <c r="A217">
        <v>218</v>
      </c>
      <c r="B217" t="s">
        <v>65</v>
      </c>
      <c r="C217" t="s">
        <v>66</v>
      </c>
      <c r="D217" t="s">
        <v>36</v>
      </c>
      <c r="E217" t="s">
        <v>37</v>
      </c>
      <c r="F217" t="s">
        <v>38</v>
      </c>
      <c r="G217" t="s">
        <v>260</v>
      </c>
      <c r="H217">
        <v>2024</v>
      </c>
      <c r="I217">
        <v>12</v>
      </c>
      <c r="J217" t="s">
        <v>51</v>
      </c>
      <c r="K217" t="s">
        <v>52</v>
      </c>
      <c r="L217" t="s">
        <v>85</v>
      </c>
      <c r="M217">
        <v>0</v>
      </c>
      <c r="N217">
        <v>8</v>
      </c>
      <c r="O217">
        <v>0</v>
      </c>
      <c r="P217">
        <v>0</v>
      </c>
      <c r="Q217">
        <v>0</v>
      </c>
      <c r="R217">
        <v>0</v>
      </c>
      <c r="CC217" t="s">
        <v>66</v>
      </c>
      <c r="CD217">
        <v>77</v>
      </c>
    </row>
    <row r="218" spans="1:82" x14ac:dyDescent="0.25">
      <c r="A218">
        <v>219</v>
      </c>
      <c r="B218" t="s">
        <v>79</v>
      </c>
      <c r="C218" t="s">
        <v>80</v>
      </c>
      <c r="D218" t="s">
        <v>20</v>
      </c>
      <c r="E218" t="s">
        <v>37</v>
      </c>
      <c r="F218" t="s">
        <v>81</v>
      </c>
      <c r="G218" t="s">
        <v>131</v>
      </c>
      <c r="H218">
        <v>2025</v>
      </c>
      <c r="I218">
        <v>11</v>
      </c>
      <c r="J218" t="s">
        <v>74</v>
      </c>
      <c r="K218" t="s">
        <v>52</v>
      </c>
      <c r="L218" t="s">
        <v>45</v>
      </c>
      <c r="M218">
        <v>1</v>
      </c>
      <c r="N218">
        <v>8</v>
      </c>
      <c r="O218">
        <v>0</v>
      </c>
      <c r="P218">
        <v>0</v>
      </c>
      <c r="Q218">
        <v>0</v>
      </c>
      <c r="R218">
        <v>0</v>
      </c>
      <c r="CC218" t="s">
        <v>80</v>
      </c>
      <c r="CD218">
        <v>68</v>
      </c>
    </row>
    <row r="219" spans="1:82" x14ac:dyDescent="0.25">
      <c r="A219">
        <v>220</v>
      </c>
      <c r="B219" t="s">
        <v>18</v>
      </c>
      <c r="C219" t="s">
        <v>19</v>
      </c>
      <c r="D219" t="s">
        <v>20</v>
      </c>
      <c r="E219" t="s">
        <v>49</v>
      </c>
      <c r="F219" t="s">
        <v>22</v>
      </c>
      <c r="G219" t="s">
        <v>192</v>
      </c>
      <c r="H219">
        <v>2024</v>
      </c>
      <c r="I219">
        <v>2</v>
      </c>
      <c r="J219" t="s">
        <v>84</v>
      </c>
      <c r="K219" t="s">
        <v>41</v>
      </c>
      <c r="L219" t="s">
        <v>26</v>
      </c>
      <c r="M219">
        <v>0</v>
      </c>
      <c r="N219">
        <v>8</v>
      </c>
      <c r="O219">
        <v>1</v>
      </c>
      <c r="P219">
        <v>0</v>
      </c>
      <c r="Q219">
        <v>94</v>
      </c>
      <c r="R219">
        <v>9</v>
      </c>
      <c r="CC219" t="s">
        <v>19</v>
      </c>
      <c r="CD219">
        <v>75</v>
      </c>
    </row>
    <row r="220" spans="1:82" x14ac:dyDescent="0.25">
      <c r="A220">
        <v>221</v>
      </c>
      <c r="B220" t="s">
        <v>57</v>
      </c>
      <c r="C220" t="s">
        <v>58</v>
      </c>
      <c r="D220" t="s">
        <v>36</v>
      </c>
      <c r="E220" t="s">
        <v>54</v>
      </c>
      <c r="F220" t="s">
        <v>59</v>
      </c>
      <c r="G220" t="s">
        <v>261</v>
      </c>
      <c r="H220">
        <v>2025</v>
      </c>
      <c r="I220">
        <v>5</v>
      </c>
      <c r="J220" t="s">
        <v>47</v>
      </c>
      <c r="K220" t="s">
        <v>48</v>
      </c>
      <c r="L220" t="s">
        <v>45</v>
      </c>
      <c r="M220">
        <v>1</v>
      </c>
      <c r="N220">
        <v>8</v>
      </c>
      <c r="O220">
        <v>1</v>
      </c>
      <c r="P220">
        <v>3</v>
      </c>
      <c r="Q220">
        <v>84</v>
      </c>
      <c r="R220">
        <v>2</v>
      </c>
      <c r="CC220" t="s">
        <v>58</v>
      </c>
      <c r="CD220">
        <v>65</v>
      </c>
    </row>
    <row r="221" spans="1:82" x14ac:dyDescent="0.25">
      <c r="A221">
        <v>222</v>
      </c>
      <c r="B221" t="s">
        <v>122</v>
      </c>
      <c r="C221" t="s">
        <v>123</v>
      </c>
      <c r="D221" t="s">
        <v>20</v>
      </c>
      <c r="E221" t="s">
        <v>37</v>
      </c>
      <c r="F221" t="s">
        <v>71</v>
      </c>
      <c r="G221" t="s">
        <v>262</v>
      </c>
      <c r="H221">
        <v>2025</v>
      </c>
      <c r="I221">
        <v>6</v>
      </c>
      <c r="J221" t="s">
        <v>76</v>
      </c>
      <c r="K221" t="s">
        <v>48</v>
      </c>
      <c r="L221" t="s">
        <v>53</v>
      </c>
      <c r="M221">
        <v>1</v>
      </c>
      <c r="N221">
        <v>8</v>
      </c>
      <c r="O221">
        <v>0</v>
      </c>
      <c r="P221">
        <v>0</v>
      </c>
      <c r="Q221">
        <v>0</v>
      </c>
      <c r="R221">
        <v>0</v>
      </c>
      <c r="CC221" t="s">
        <v>123</v>
      </c>
      <c r="CD221">
        <v>92</v>
      </c>
    </row>
    <row r="222" spans="1:82" x14ac:dyDescent="0.25">
      <c r="A222">
        <v>223</v>
      </c>
      <c r="B222" t="s">
        <v>65</v>
      </c>
      <c r="C222" t="s">
        <v>66</v>
      </c>
      <c r="D222" t="s">
        <v>36</v>
      </c>
      <c r="E222" t="s">
        <v>49</v>
      </c>
      <c r="F222" t="s">
        <v>38</v>
      </c>
      <c r="G222" t="s">
        <v>115</v>
      </c>
      <c r="H222">
        <v>2025</v>
      </c>
      <c r="I222">
        <v>5</v>
      </c>
      <c r="J222" t="s">
        <v>47</v>
      </c>
      <c r="K222" t="s">
        <v>48</v>
      </c>
      <c r="L222" t="s">
        <v>33</v>
      </c>
      <c r="M222">
        <v>0</v>
      </c>
      <c r="N222">
        <v>8</v>
      </c>
      <c r="O222">
        <v>0</v>
      </c>
      <c r="P222">
        <v>0</v>
      </c>
      <c r="Q222">
        <v>0</v>
      </c>
      <c r="R222">
        <v>0</v>
      </c>
      <c r="CC222" t="s">
        <v>66</v>
      </c>
      <c r="CD222">
        <v>64</v>
      </c>
    </row>
    <row r="223" spans="1:82" x14ac:dyDescent="0.25">
      <c r="A223">
        <v>224</v>
      </c>
      <c r="B223" t="s">
        <v>79</v>
      </c>
      <c r="C223" t="s">
        <v>80</v>
      </c>
      <c r="D223" t="s">
        <v>20</v>
      </c>
      <c r="E223" t="s">
        <v>54</v>
      </c>
      <c r="F223" t="s">
        <v>81</v>
      </c>
      <c r="G223" t="s">
        <v>263</v>
      </c>
      <c r="H223">
        <v>2024</v>
      </c>
      <c r="I223">
        <v>5</v>
      </c>
      <c r="J223" t="s">
        <v>47</v>
      </c>
      <c r="K223" t="s">
        <v>48</v>
      </c>
      <c r="L223" t="s">
        <v>45</v>
      </c>
      <c r="M223">
        <v>1</v>
      </c>
      <c r="N223">
        <v>8</v>
      </c>
      <c r="O223">
        <v>1</v>
      </c>
      <c r="P223">
        <v>2</v>
      </c>
      <c r="Q223">
        <v>70</v>
      </c>
      <c r="R223">
        <v>8</v>
      </c>
      <c r="CC223" t="s">
        <v>80</v>
      </c>
      <c r="CD223">
        <v>84</v>
      </c>
    </row>
    <row r="224" spans="1:82" x14ac:dyDescent="0.25">
      <c r="A224">
        <v>225</v>
      </c>
      <c r="B224" t="s">
        <v>79</v>
      </c>
      <c r="C224" t="s">
        <v>80</v>
      </c>
      <c r="D224" t="s">
        <v>20</v>
      </c>
      <c r="E224" t="s">
        <v>37</v>
      </c>
      <c r="F224" t="s">
        <v>81</v>
      </c>
      <c r="G224" t="s">
        <v>264</v>
      </c>
      <c r="H224">
        <v>2024</v>
      </c>
      <c r="I224">
        <v>6</v>
      </c>
      <c r="J224" t="s">
        <v>76</v>
      </c>
      <c r="K224" t="s">
        <v>48</v>
      </c>
      <c r="L224" t="s">
        <v>77</v>
      </c>
      <c r="M224">
        <v>0</v>
      </c>
      <c r="N224">
        <v>8</v>
      </c>
      <c r="O224">
        <v>1</v>
      </c>
      <c r="P224">
        <v>2</v>
      </c>
      <c r="Q224">
        <v>93</v>
      </c>
      <c r="R224">
        <v>7</v>
      </c>
      <c r="CC224" t="s">
        <v>80</v>
      </c>
      <c r="CD224">
        <v>76</v>
      </c>
    </row>
    <row r="225" spans="1:82" x14ac:dyDescent="0.25">
      <c r="A225">
        <v>226</v>
      </c>
      <c r="B225" t="s">
        <v>18</v>
      </c>
      <c r="C225" t="s">
        <v>19</v>
      </c>
      <c r="D225" t="s">
        <v>20</v>
      </c>
      <c r="E225" t="s">
        <v>29</v>
      </c>
      <c r="F225" t="s">
        <v>22</v>
      </c>
      <c r="G225" t="s">
        <v>55</v>
      </c>
      <c r="H225">
        <v>2024</v>
      </c>
      <c r="I225">
        <v>12</v>
      </c>
      <c r="J225" t="s">
        <v>51</v>
      </c>
      <c r="K225" t="s">
        <v>52</v>
      </c>
      <c r="L225" t="s">
        <v>53</v>
      </c>
      <c r="M225">
        <v>1</v>
      </c>
      <c r="N225">
        <v>8</v>
      </c>
      <c r="O225">
        <v>0</v>
      </c>
      <c r="P225">
        <v>0</v>
      </c>
      <c r="Q225">
        <v>0</v>
      </c>
      <c r="R225">
        <v>0</v>
      </c>
      <c r="CC225" t="s">
        <v>19</v>
      </c>
      <c r="CD225">
        <v>69</v>
      </c>
    </row>
    <row r="226" spans="1:82" x14ac:dyDescent="0.25">
      <c r="A226">
        <v>227</v>
      </c>
      <c r="B226" t="s">
        <v>65</v>
      </c>
      <c r="C226" t="s">
        <v>66</v>
      </c>
      <c r="D226" t="s">
        <v>36</v>
      </c>
      <c r="E226" t="s">
        <v>37</v>
      </c>
      <c r="F226" t="s">
        <v>38</v>
      </c>
      <c r="G226" t="s">
        <v>265</v>
      </c>
      <c r="H226">
        <v>2025</v>
      </c>
      <c r="I226">
        <v>3</v>
      </c>
      <c r="J226" t="s">
        <v>40</v>
      </c>
      <c r="K226" t="s">
        <v>41</v>
      </c>
      <c r="L226" t="s">
        <v>61</v>
      </c>
      <c r="M226">
        <v>0</v>
      </c>
      <c r="N226">
        <v>8</v>
      </c>
      <c r="O226">
        <v>0</v>
      </c>
      <c r="P226">
        <v>0</v>
      </c>
      <c r="Q226">
        <v>0</v>
      </c>
      <c r="R226">
        <v>0</v>
      </c>
      <c r="CC226" t="s">
        <v>66</v>
      </c>
      <c r="CD226">
        <v>78</v>
      </c>
    </row>
    <row r="227" spans="1:82" x14ac:dyDescent="0.25">
      <c r="A227">
        <v>228</v>
      </c>
      <c r="B227" t="s">
        <v>79</v>
      </c>
      <c r="C227" t="s">
        <v>80</v>
      </c>
      <c r="D227" t="s">
        <v>20</v>
      </c>
      <c r="E227" t="s">
        <v>49</v>
      </c>
      <c r="F227" t="s">
        <v>81</v>
      </c>
      <c r="G227" t="s">
        <v>266</v>
      </c>
      <c r="H227">
        <v>2024</v>
      </c>
      <c r="I227">
        <v>7</v>
      </c>
      <c r="J227" t="s">
        <v>32</v>
      </c>
      <c r="K227" t="s">
        <v>25</v>
      </c>
      <c r="L227" t="s">
        <v>77</v>
      </c>
      <c r="M227">
        <v>0</v>
      </c>
      <c r="N227">
        <v>8</v>
      </c>
      <c r="O227">
        <v>1</v>
      </c>
      <c r="P227">
        <v>1</v>
      </c>
      <c r="Q227">
        <v>85</v>
      </c>
      <c r="R227">
        <v>10</v>
      </c>
      <c r="CC227" t="s">
        <v>80</v>
      </c>
      <c r="CD227">
        <v>76</v>
      </c>
    </row>
    <row r="228" spans="1:82" x14ac:dyDescent="0.25">
      <c r="A228">
        <v>229</v>
      </c>
      <c r="B228" t="s">
        <v>57</v>
      </c>
      <c r="C228" t="s">
        <v>58</v>
      </c>
      <c r="D228" t="s">
        <v>36</v>
      </c>
      <c r="E228" t="s">
        <v>49</v>
      </c>
      <c r="F228" t="s">
        <v>59</v>
      </c>
      <c r="G228" t="s">
        <v>267</v>
      </c>
      <c r="H228">
        <v>2024</v>
      </c>
      <c r="I228">
        <v>11</v>
      </c>
      <c r="J228" t="s">
        <v>74</v>
      </c>
      <c r="K228" t="s">
        <v>52</v>
      </c>
      <c r="L228" t="s">
        <v>85</v>
      </c>
      <c r="M228">
        <v>0</v>
      </c>
      <c r="N228">
        <v>8</v>
      </c>
      <c r="O228">
        <v>1</v>
      </c>
      <c r="P228">
        <v>1</v>
      </c>
      <c r="Q228">
        <v>69</v>
      </c>
      <c r="R228">
        <v>8</v>
      </c>
      <c r="CC228" t="s">
        <v>58</v>
      </c>
      <c r="CD228">
        <v>93</v>
      </c>
    </row>
    <row r="229" spans="1:82" x14ac:dyDescent="0.25">
      <c r="A229">
        <v>230</v>
      </c>
      <c r="B229" t="s">
        <v>34</v>
      </c>
      <c r="C229" t="s">
        <v>35</v>
      </c>
      <c r="D229" t="s">
        <v>36</v>
      </c>
      <c r="E229" t="s">
        <v>37</v>
      </c>
      <c r="F229" t="s">
        <v>38</v>
      </c>
      <c r="G229" t="s">
        <v>268</v>
      </c>
      <c r="H229">
        <v>2025</v>
      </c>
      <c r="I229">
        <v>3</v>
      </c>
      <c r="J229" t="s">
        <v>40</v>
      </c>
      <c r="K229" t="s">
        <v>41</v>
      </c>
      <c r="L229" t="s">
        <v>26</v>
      </c>
      <c r="M229">
        <v>0</v>
      </c>
      <c r="N229">
        <v>8</v>
      </c>
      <c r="O229">
        <v>0</v>
      </c>
      <c r="P229">
        <v>0</v>
      </c>
      <c r="Q229">
        <v>0</v>
      </c>
      <c r="R229">
        <v>0</v>
      </c>
      <c r="CC229" t="s">
        <v>35</v>
      </c>
      <c r="CD229">
        <v>70</v>
      </c>
    </row>
    <row r="230" spans="1:82" x14ac:dyDescent="0.25">
      <c r="A230">
        <v>231</v>
      </c>
      <c r="B230" t="s">
        <v>65</v>
      </c>
      <c r="C230" t="s">
        <v>66</v>
      </c>
      <c r="D230" t="s">
        <v>36</v>
      </c>
      <c r="E230" t="s">
        <v>29</v>
      </c>
      <c r="F230" t="s">
        <v>38</v>
      </c>
      <c r="G230" t="s">
        <v>250</v>
      </c>
      <c r="H230">
        <v>2024</v>
      </c>
      <c r="I230">
        <v>1</v>
      </c>
      <c r="J230" t="s">
        <v>68</v>
      </c>
      <c r="K230" t="s">
        <v>41</v>
      </c>
      <c r="L230" t="s">
        <v>33</v>
      </c>
      <c r="M230">
        <v>0</v>
      </c>
      <c r="N230">
        <v>8</v>
      </c>
      <c r="O230">
        <v>0</v>
      </c>
      <c r="P230">
        <v>0</v>
      </c>
      <c r="Q230">
        <v>0</v>
      </c>
      <c r="R230">
        <v>0</v>
      </c>
      <c r="CC230" t="s">
        <v>66</v>
      </c>
      <c r="CD230">
        <v>68</v>
      </c>
    </row>
    <row r="231" spans="1:82" x14ac:dyDescent="0.25">
      <c r="A231">
        <v>232</v>
      </c>
      <c r="B231" t="s">
        <v>57</v>
      </c>
      <c r="C231" t="s">
        <v>58</v>
      </c>
      <c r="D231" t="s">
        <v>36</v>
      </c>
      <c r="E231" t="s">
        <v>54</v>
      </c>
      <c r="F231" t="s">
        <v>59</v>
      </c>
      <c r="G231" t="s">
        <v>269</v>
      </c>
      <c r="H231">
        <v>2025</v>
      </c>
      <c r="I231">
        <v>1</v>
      </c>
      <c r="J231" t="s">
        <v>68</v>
      </c>
      <c r="K231" t="s">
        <v>41</v>
      </c>
      <c r="L231" t="s">
        <v>53</v>
      </c>
      <c r="M231">
        <v>1</v>
      </c>
      <c r="N231">
        <v>8</v>
      </c>
      <c r="O231">
        <v>1</v>
      </c>
      <c r="P231">
        <v>3</v>
      </c>
      <c r="Q231">
        <v>80</v>
      </c>
      <c r="R231">
        <v>4</v>
      </c>
      <c r="CC231" t="s">
        <v>58</v>
      </c>
      <c r="CD231">
        <v>88</v>
      </c>
    </row>
    <row r="232" spans="1:82" x14ac:dyDescent="0.25">
      <c r="A232">
        <v>233</v>
      </c>
      <c r="B232" t="s">
        <v>122</v>
      </c>
      <c r="C232" t="s">
        <v>123</v>
      </c>
      <c r="D232" t="s">
        <v>20</v>
      </c>
      <c r="E232" t="s">
        <v>29</v>
      </c>
      <c r="F232" t="s">
        <v>71</v>
      </c>
      <c r="G232" t="s">
        <v>270</v>
      </c>
      <c r="H232">
        <v>2025</v>
      </c>
      <c r="I232">
        <v>10</v>
      </c>
      <c r="J232" t="s">
        <v>105</v>
      </c>
      <c r="K232" t="s">
        <v>52</v>
      </c>
      <c r="L232" t="s">
        <v>53</v>
      </c>
      <c r="M232">
        <v>1</v>
      </c>
      <c r="N232">
        <v>8</v>
      </c>
      <c r="O232">
        <v>1</v>
      </c>
      <c r="P232">
        <v>0</v>
      </c>
      <c r="Q232">
        <v>88</v>
      </c>
      <c r="R232">
        <v>8</v>
      </c>
      <c r="CC232" t="s">
        <v>123</v>
      </c>
      <c r="CD232">
        <v>91</v>
      </c>
    </row>
    <row r="233" spans="1:82" x14ac:dyDescent="0.25">
      <c r="A233">
        <v>234</v>
      </c>
      <c r="B233" t="s">
        <v>79</v>
      </c>
      <c r="C233" t="s">
        <v>80</v>
      </c>
      <c r="D233" t="s">
        <v>20</v>
      </c>
      <c r="E233" t="s">
        <v>54</v>
      </c>
      <c r="F233" t="s">
        <v>81</v>
      </c>
      <c r="G233" t="s">
        <v>271</v>
      </c>
      <c r="H233">
        <v>2025</v>
      </c>
      <c r="I233">
        <v>12</v>
      </c>
      <c r="J233" t="s">
        <v>51</v>
      </c>
      <c r="K233" t="s">
        <v>52</v>
      </c>
      <c r="L233" t="s">
        <v>33</v>
      </c>
      <c r="M233">
        <v>0</v>
      </c>
      <c r="N233">
        <v>8</v>
      </c>
      <c r="O233">
        <v>1</v>
      </c>
      <c r="P233">
        <v>3</v>
      </c>
      <c r="Q233">
        <v>62</v>
      </c>
      <c r="R233">
        <v>1</v>
      </c>
      <c r="CC233" t="s">
        <v>80</v>
      </c>
      <c r="CD233">
        <v>70</v>
      </c>
    </row>
    <row r="234" spans="1:82" x14ac:dyDescent="0.25">
      <c r="A234">
        <v>235</v>
      </c>
      <c r="B234" t="s">
        <v>27</v>
      </c>
      <c r="C234" t="s">
        <v>28</v>
      </c>
      <c r="D234" t="s">
        <v>20</v>
      </c>
      <c r="E234" t="s">
        <v>49</v>
      </c>
      <c r="F234" t="s">
        <v>30</v>
      </c>
      <c r="G234" t="s">
        <v>272</v>
      </c>
      <c r="H234">
        <v>2024</v>
      </c>
      <c r="I234">
        <v>5</v>
      </c>
      <c r="J234" t="s">
        <v>47</v>
      </c>
      <c r="K234" t="s">
        <v>48</v>
      </c>
      <c r="L234" t="s">
        <v>33</v>
      </c>
      <c r="M234">
        <v>0</v>
      </c>
      <c r="N234">
        <v>8</v>
      </c>
      <c r="O234">
        <v>1</v>
      </c>
      <c r="P234">
        <v>3</v>
      </c>
      <c r="Q234">
        <v>82</v>
      </c>
      <c r="R234">
        <v>0</v>
      </c>
      <c r="CC234" t="s">
        <v>28</v>
      </c>
      <c r="CD234">
        <v>95</v>
      </c>
    </row>
    <row r="235" spans="1:82" x14ac:dyDescent="0.25">
      <c r="A235">
        <v>236</v>
      </c>
      <c r="B235" t="s">
        <v>79</v>
      </c>
      <c r="C235" t="s">
        <v>80</v>
      </c>
      <c r="D235" t="s">
        <v>20</v>
      </c>
      <c r="E235" t="s">
        <v>49</v>
      </c>
      <c r="F235" t="s">
        <v>81</v>
      </c>
      <c r="G235" t="s">
        <v>182</v>
      </c>
      <c r="H235">
        <v>2025</v>
      </c>
      <c r="I235">
        <v>7</v>
      </c>
      <c r="J235" t="s">
        <v>32</v>
      </c>
      <c r="K235" t="s">
        <v>25</v>
      </c>
      <c r="L235" t="s">
        <v>33</v>
      </c>
      <c r="M235">
        <v>0</v>
      </c>
      <c r="N235">
        <v>8</v>
      </c>
      <c r="O235">
        <v>1</v>
      </c>
      <c r="P235">
        <v>0</v>
      </c>
      <c r="Q235">
        <v>71</v>
      </c>
      <c r="R235">
        <v>1</v>
      </c>
      <c r="CC235" t="s">
        <v>80</v>
      </c>
      <c r="CD235">
        <v>65</v>
      </c>
    </row>
    <row r="236" spans="1:82" x14ac:dyDescent="0.25">
      <c r="A236">
        <v>237</v>
      </c>
      <c r="B236" t="s">
        <v>79</v>
      </c>
      <c r="C236" t="s">
        <v>80</v>
      </c>
      <c r="D236" t="s">
        <v>20</v>
      </c>
      <c r="E236" t="s">
        <v>37</v>
      </c>
      <c r="F236" t="s">
        <v>81</v>
      </c>
      <c r="G236" t="s">
        <v>273</v>
      </c>
      <c r="H236">
        <v>2025</v>
      </c>
      <c r="I236">
        <v>2</v>
      </c>
      <c r="J236" t="s">
        <v>84</v>
      </c>
      <c r="K236" t="s">
        <v>41</v>
      </c>
      <c r="L236" t="s">
        <v>33</v>
      </c>
      <c r="M236">
        <v>0</v>
      </c>
      <c r="N236">
        <v>8</v>
      </c>
      <c r="O236">
        <v>1</v>
      </c>
      <c r="P236">
        <v>1</v>
      </c>
      <c r="Q236">
        <v>85</v>
      </c>
      <c r="R236">
        <v>1</v>
      </c>
      <c r="CC236" t="s">
        <v>80</v>
      </c>
      <c r="CD236">
        <v>68</v>
      </c>
    </row>
    <row r="237" spans="1:82" x14ac:dyDescent="0.25">
      <c r="A237">
        <v>238</v>
      </c>
      <c r="B237" t="s">
        <v>18</v>
      </c>
      <c r="C237" t="s">
        <v>19</v>
      </c>
      <c r="D237" t="s">
        <v>20</v>
      </c>
      <c r="E237" t="s">
        <v>37</v>
      </c>
      <c r="F237" t="s">
        <v>22</v>
      </c>
      <c r="G237" t="s">
        <v>274</v>
      </c>
      <c r="H237">
        <v>2025</v>
      </c>
      <c r="I237">
        <v>4</v>
      </c>
      <c r="J237" t="s">
        <v>89</v>
      </c>
      <c r="K237" t="s">
        <v>48</v>
      </c>
      <c r="L237" t="s">
        <v>61</v>
      </c>
      <c r="M237">
        <v>0</v>
      </c>
      <c r="N237">
        <v>8</v>
      </c>
      <c r="O237">
        <v>0</v>
      </c>
      <c r="P237">
        <v>0</v>
      </c>
      <c r="Q237">
        <v>0</v>
      </c>
      <c r="R237">
        <v>0</v>
      </c>
      <c r="CC237" t="s">
        <v>19</v>
      </c>
      <c r="CD237">
        <v>67</v>
      </c>
    </row>
    <row r="238" spans="1:82" x14ac:dyDescent="0.25">
      <c r="A238">
        <v>239</v>
      </c>
      <c r="B238" t="s">
        <v>57</v>
      </c>
      <c r="C238" t="s">
        <v>58</v>
      </c>
      <c r="D238" t="s">
        <v>36</v>
      </c>
      <c r="E238" t="s">
        <v>21</v>
      </c>
      <c r="F238" t="s">
        <v>59</v>
      </c>
      <c r="G238" t="s">
        <v>145</v>
      </c>
      <c r="H238">
        <v>2025</v>
      </c>
      <c r="I238">
        <v>8</v>
      </c>
      <c r="J238" t="s">
        <v>107</v>
      </c>
      <c r="K238" t="s">
        <v>25</v>
      </c>
      <c r="L238" t="s">
        <v>26</v>
      </c>
      <c r="M238">
        <v>0</v>
      </c>
      <c r="N238">
        <v>8</v>
      </c>
      <c r="O238">
        <v>0</v>
      </c>
      <c r="P238">
        <v>0</v>
      </c>
      <c r="Q238">
        <v>0</v>
      </c>
      <c r="R238">
        <v>0</v>
      </c>
      <c r="CC238" t="s">
        <v>58</v>
      </c>
      <c r="CD238">
        <v>63</v>
      </c>
    </row>
    <row r="239" spans="1:82" x14ac:dyDescent="0.25">
      <c r="A239">
        <v>240</v>
      </c>
      <c r="B239" t="s">
        <v>79</v>
      </c>
      <c r="C239" t="s">
        <v>80</v>
      </c>
      <c r="D239" t="s">
        <v>20</v>
      </c>
      <c r="E239" t="s">
        <v>54</v>
      </c>
      <c r="F239" t="s">
        <v>81</v>
      </c>
      <c r="G239" t="s">
        <v>275</v>
      </c>
      <c r="H239">
        <v>2025</v>
      </c>
      <c r="I239">
        <v>6</v>
      </c>
      <c r="J239" t="s">
        <v>76</v>
      </c>
      <c r="K239" t="s">
        <v>48</v>
      </c>
      <c r="L239" t="s">
        <v>45</v>
      </c>
      <c r="M239">
        <v>1</v>
      </c>
      <c r="N239">
        <v>8</v>
      </c>
      <c r="O239">
        <v>1</v>
      </c>
      <c r="P239">
        <v>0</v>
      </c>
      <c r="Q239">
        <v>79</v>
      </c>
      <c r="R239">
        <v>2</v>
      </c>
      <c r="CC239" t="s">
        <v>80</v>
      </c>
      <c r="CD239">
        <v>62</v>
      </c>
    </row>
    <row r="240" spans="1:82" x14ac:dyDescent="0.25">
      <c r="A240">
        <v>241</v>
      </c>
      <c r="B240" t="s">
        <v>62</v>
      </c>
      <c r="C240" t="s">
        <v>63</v>
      </c>
      <c r="D240" t="s">
        <v>20</v>
      </c>
      <c r="E240" t="s">
        <v>49</v>
      </c>
      <c r="F240" t="s">
        <v>38</v>
      </c>
      <c r="G240" t="s">
        <v>276</v>
      </c>
      <c r="H240">
        <v>2024</v>
      </c>
      <c r="I240">
        <v>1</v>
      </c>
      <c r="J240" t="s">
        <v>68</v>
      </c>
      <c r="K240" t="s">
        <v>41</v>
      </c>
      <c r="L240" t="s">
        <v>26</v>
      </c>
      <c r="M240">
        <v>0</v>
      </c>
      <c r="N240">
        <v>8</v>
      </c>
      <c r="O240">
        <v>1</v>
      </c>
      <c r="P240">
        <v>1</v>
      </c>
      <c r="Q240">
        <v>83</v>
      </c>
      <c r="R240">
        <v>4</v>
      </c>
      <c r="CC240" t="s">
        <v>63</v>
      </c>
      <c r="CD240">
        <v>84</v>
      </c>
    </row>
    <row r="241" spans="1:82" x14ac:dyDescent="0.25">
      <c r="A241">
        <v>242</v>
      </c>
      <c r="B241" t="s">
        <v>69</v>
      </c>
      <c r="C241" t="s">
        <v>70</v>
      </c>
      <c r="D241" t="s">
        <v>36</v>
      </c>
      <c r="E241" t="s">
        <v>49</v>
      </c>
      <c r="F241" t="s">
        <v>71</v>
      </c>
      <c r="G241" t="s">
        <v>277</v>
      </c>
      <c r="H241">
        <v>2024</v>
      </c>
      <c r="I241">
        <v>5</v>
      </c>
      <c r="J241" t="s">
        <v>47</v>
      </c>
      <c r="K241" t="s">
        <v>48</v>
      </c>
      <c r="L241" t="s">
        <v>33</v>
      </c>
      <c r="M241">
        <v>0</v>
      </c>
      <c r="N241">
        <v>8</v>
      </c>
      <c r="O241">
        <v>1</v>
      </c>
      <c r="P241">
        <v>3</v>
      </c>
      <c r="Q241">
        <v>60</v>
      </c>
      <c r="R241">
        <v>5</v>
      </c>
      <c r="CC241" t="s">
        <v>70</v>
      </c>
      <c r="CD241">
        <v>78</v>
      </c>
    </row>
    <row r="242" spans="1:82" x14ac:dyDescent="0.25">
      <c r="A242">
        <v>243</v>
      </c>
      <c r="B242" t="s">
        <v>79</v>
      </c>
      <c r="C242" t="s">
        <v>80</v>
      </c>
      <c r="D242" t="s">
        <v>20</v>
      </c>
      <c r="E242" t="s">
        <v>54</v>
      </c>
      <c r="F242" t="s">
        <v>81</v>
      </c>
      <c r="G242" t="s">
        <v>278</v>
      </c>
      <c r="H242">
        <v>2025</v>
      </c>
      <c r="I242">
        <v>4</v>
      </c>
      <c r="J242" t="s">
        <v>89</v>
      </c>
      <c r="K242" t="s">
        <v>48</v>
      </c>
      <c r="L242" t="s">
        <v>77</v>
      </c>
      <c r="M242">
        <v>0</v>
      </c>
      <c r="N242">
        <v>8</v>
      </c>
      <c r="O242">
        <v>0</v>
      </c>
      <c r="P242">
        <v>0</v>
      </c>
      <c r="Q242">
        <v>0</v>
      </c>
      <c r="R242">
        <v>0</v>
      </c>
      <c r="CC242" t="s">
        <v>80</v>
      </c>
      <c r="CD242">
        <v>70</v>
      </c>
    </row>
    <row r="243" spans="1:82" x14ac:dyDescent="0.25">
      <c r="A243">
        <v>244</v>
      </c>
      <c r="B243" t="s">
        <v>42</v>
      </c>
      <c r="C243" t="s">
        <v>43</v>
      </c>
      <c r="D243" t="s">
        <v>36</v>
      </c>
      <c r="E243" t="s">
        <v>37</v>
      </c>
      <c r="F243" t="s">
        <v>22</v>
      </c>
      <c r="G243" t="s">
        <v>173</v>
      </c>
      <c r="H243">
        <v>2025</v>
      </c>
      <c r="I243">
        <v>7</v>
      </c>
      <c r="J243" t="s">
        <v>32</v>
      </c>
      <c r="K243" t="s">
        <v>25</v>
      </c>
      <c r="L243" t="s">
        <v>61</v>
      </c>
      <c r="M243">
        <v>0</v>
      </c>
      <c r="N243">
        <v>8</v>
      </c>
      <c r="O243">
        <v>1</v>
      </c>
      <c r="P243">
        <v>0</v>
      </c>
      <c r="Q243">
        <v>90</v>
      </c>
      <c r="R243">
        <v>10</v>
      </c>
      <c r="CC243" t="s">
        <v>43</v>
      </c>
      <c r="CD243">
        <v>67</v>
      </c>
    </row>
    <row r="244" spans="1:82" x14ac:dyDescent="0.25">
      <c r="A244">
        <v>245</v>
      </c>
      <c r="B244" t="s">
        <v>27</v>
      </c>
      <c r="C244" t="s">
        <v>28</v>
      </c>
      <c r="D244" t="s">
        <v>20</v>
      </c>
      <c r="E244" t="s">
        <v>49</v>
      </c>
      <c r="F244" t="s">
        <v>30</v>
      </c>
      <c r="G244" t="s">
        <v>279</v>
      </c>
      <c r="H244">
        <v>2025</v>
      </c>
      <c r="I244">
        <v>9</v>
      </c>
      <c r="J244" t="s">
        <v>24</v>
      </c>
      <c r="K244" t="s">
        <v>25</v>
      </c>
      <c r="L244" t="s">
        <v>26</v>
      </c>
      <c r="M244">
        <v>0</v>
      </c>
      <c r="N244">
        <v>8</v>
      </c>
      <c r="O244">
        <v>0</v>
      </c>
      <c r="P244">
        <v>0</v>
      </c>
      <c r="Q244">
        <v>0</v>
      </c>
      <c r="R244">
        <v>0</v>
      </c>
      <c r="CC244" t="s">
        <v>28</v>
      </c>
      <c r="CD244">
        <v>79</v>
      </c>
    </row>
    <row r="245" spans="1:82" x14ac:dyDescent="0.25">
      <c r="A245">
        <v>246</v>
      </c>
      <c r="B245" t="s">
        <v>27</v>
      </c>
      <c r="C245" t="s">
        <v>28</v>
      </c>
      <c r="D245" t="s">
        <v>20</v>
      </c>
      <c r="E245" t="s">
        <v>29</v>
      </c>
      <c r="F245" t="s">
        <v>30</v>
      </c>
      <c r="G245" t="s">
        <v>142</v>
      </c>
      <c r="H245">
        <v>2025</v>
      </c>
      <c r="I245">
        <v>5</v>
      </c>
      <c r="J245" t="s">
        <v>47</v>
      </c>
      <c r="K245" t="s">
        <v>48</v>
      </c>
      <c r="L245" t="s">
        <v>33</v>
      </c>
      <c r="M245">
        <v>0</v>
      </c>
      <c r="N245">
        <v>8</v>
      </c>
      <c r="O245">
        <v>1</v>
      </c>
      <c r="P245">
        <v>0</v>
      </c>
      <c r="Q245">
        <v>71</v>
      </c>
      <c r="R245">
        <v>7</v>
      </c>
      <c r="CC245" t="s">
        <v>28</v>
      </c>
      <c r="CD245">
        <v>78</v>
      </c>
    </row>
    <row r="246" spans="1:82" x14ac:dyDescent="0.25">
      <c r="A246">
        <v>247</v>
      </c>
      <c r="B246" t="s">
        <v>65</v>
      </c>
      <c r="C246" t="s">
        <v>66</v>
      </c>
      <c r="D246" t="s">
        <v>36</v>
      </c>
      <c r="E246" t="s">
        <v>49</v>
      </c>
      <c r="F246" t="s">
        <v>38</v>
      </c>
      <c r="G246" t="s">
        <v>280</v>
      </c>
      <c r="H246">
        <v>2025</v>
      </c>
      <c r="I246">
        <v>3</v>
      </c>
      <c r="J246" t="s">
        <v>40</v>
      </c>
      <c r="K246" t="s">
        <v>41</v>
      </c>
      <c r="L246" t="s">
        <v>45</v>
      </c>
      <c r="M246">
        <v>1</v>
      </c>
      <c r="N246">
        <v>8</v>
      </c>
      <c r="O246">
        <v>1</v>
      </c>
      <c r="P246">
        <v>1</v>
      </c>
      <c r="Q246">
        <v>64</v>
      </c>
      <c r="R246">
        <v>9</v>
      </c>
      <c r="CC246" t="s">
        <v>66</v>
      </c>
      <c r="CD246">
        <v>78</v>
      </c>
    </row>
    <row r="247" spans="1:82" x14ac:dyDescent="0.25">
      <c r="A247">
        <v>248</v>
      </c>
      <c r="B247" t="s">
        <v>18</v>
      </c>
      <c r="C247" t="s">
        <v>19</v>
      </c>
      <c r="D247" t="s">
        <v>20</v>
      </c>
      <c r="E247" t="s">
        <v>54</v>
      </c>
      <c r="F247" t="s">
        <v>22</v>
      </c>
      <c r="G247" t="s">
        <v>281</v>
      </c>
      <c r="H247">
        <v>2024</v>
      </c>
      <c r="I247">
        <v>1</v>
      </c>
      <c r="J247" t="s">
        <v>68</v>
      </c>
      <c r="K247" t="s">
        <v>41</v>
      </c>
      <c r="L247" t="s">
        <v>77</v>
      </c>
      <c r="M247">
        <v>0</v>
      </c>
      <c r="N247">
        <v>8</v>
      </c>
      <c r="O247">
        <v>0</v>
      </c>
      <c r="P247">
        <v>0</v>
      </c>
      <c r="Q247">
        <v>0</v>
      </c>
      <c r="R247">
        <v>0</v>
      </c>
      <c r="CC247" t="s">
        <v>19</v>
      </c>
      <c r="CD247">
        <v>72</v>
      </c>
    </row>
    <row r="248" spans="1:82" x14ac:dyDescent="0.25">
      <c r="A248">
        <v>249</v>
      </c>
      <c r="B248" t="s">
        <v>69</v>
      </c>
      <c r="C248" t="s">
        <v>70</v>
      </c>
      <c r="D248" t="s">
        <v>36</v>
      </c>
      <c r="E248" t="s">
        <v>29</v>
      </c>
      <c r="F248" t="s">
        <v>71</v>
      </c>
      <c r="G248" t="s">
        <v>96</v>
      </c>
      <c r="H248">
        <v>2025</v>
      </c>
      <c r="I248">
        <v>12</v>
      </c>
      <c r="J248" t="s">
        <v>51</v>
      </c>
      <c r="K248" t="s">
        <v>52</v>
      </c>
      <c r="L248" t="s">
        <v>26</v>
      </c>
      <c r="M248">
        <v>0</v>
      </c>
      <c r="N248">
        <v>8</v>
      </c>
      <c r="O248">
        <v>0</v>
      </c>
      <c r="P248">
        <v>0</v>
      </c>
      <c r="Q248">
        <v>0</v>
      </c>
      <c r="R248">
        <v>0</v>
      </c>
      <c r="CC248" t="s">
        <v>70</v>
      </c>
      <c r="CD248">
        <v>79</v>
      </c>
    </row>
    <row r="249" spans="1:82" x14ac:dyDescent="0.25">
      <c r="A249">
        <v>250</v>
      </c>
      <c r="B249" t="s">
        <v>42</v>
      </c>
      <c r="C249" t="s">
        <v>43</v>
      </c>
      <c r="D249" t="s">
        <v>36</v>
      </c>
      <c r="E249" t="s">
        <v>21</v>
      </c>
      <c r="F249" t="s">
        <v>22</v>
      </c>
      <c r="G249" t="s">
        <v>282</v>
      </c>
      <c r="H249">
        <v>2024</v>
      </c>
      <c r="I249">
        <v>12</v>
      </c>
      <c r="J249" t="s">
        <v>51</v>
      </c>
      <c r="K249" t="s">
        <v>52</v>
      </c>
      <c r="L249" t="s">
        <v>26</v>
      </c>
      <c r="M249">
        <v>0</v>
      </c>
      <c r="N249">
        <v>8</v>
      </c>
      <c r="O249">
        <v>1</v>
      </c>
      <c r="P249">
        <v>2</v>
      </c>
      <c r="Q249">
        <v>81</v>
      </c>
      <c r="R249">
        <v>2</v>
      </c>
      <c r="CC249" t="s">
        <v>43</v>
      </c>
      <c r="CD249">
        <v>93</v>
      </c>
    </row>
    <row r="250" spans="1:82" x14ac:dyDescent="0.25">
      <c r="A250">
        <v>251</v>
      </c>
      <c r="B250" t="s">
        <v>62</v>
      </c>
      <c r="C250" t="s">
        <v>63</v>
      </c>
      <c r="D250" t="s">
        <v>20</v>
      </c>
      <c r="E250" t="s">
        <v>54</v>
      </c>
      <c r="F250" t="s">
        <v>38</v>
      </c>
      <c r="G250" t="s">
        <v>243</v>
      </c>
      <c r="H250">
        <v>2025</v>
      </c>
      <c r="I250">
        <v>9</v>
      </c>
      <c r="J250" t="s">
        <v>24</v>
      </c>
      <c r="K250" t="s">
        <v>25</v>
      </c>
      <c r="L250" t="s">
        <v>45</v>
      </c>
      <c r="M250">
        <v>1</v>
      </c>
      <c r="N250">
        <v>8</v>
      </c>
      <c r="O250">
        <v>1</v>
      </c>
      <c r="P250">
        <v>2</v>
      </c>
      <c r="Q250">
        <v>62</v>
      </c>
      <c r="R250">
        <v>7</v>
      </c>
      <c r="CC250" t="s">
        <v>63</v>
      </c>
      <c r="CD250">
        <v>95</v>
      </c>
    </row>
    <row r="251" spans="1:82" x14ac:dyDescent="0.25">
      <c r="A251">
        <v>252</v>
      </c>
      <c r="B251" t="s">
        <v>122</v>
      </c>
      <c r="C251" t="s">
        <v>123</v>
      </c>
      <c r="D251" t="s">
        <v>20</v>
      </c>
      <c r="E251" t="s">
        <v>21</v>
      </c>
      <c r="F251" t="s">
        <v>71</v>
      </c>
      <c r="G251" t="s">
        <v>283</v>
      </c>
      <c r="H251">
        <v>2024</v>
      </c>
      <c r="I251">
        <v>11</v>
      </c>
      <c r="J251" t="s">
        <v>74</v>
      </c>
      <c r="K251" t="s">
        <v>52</v>
      </c>
      <c r="L251" t="s">
        <v>33</v>
      </c>
      <c r="M251">
        <v>0</v>
      </c>
      <c r="N251">
        <v>8</v>
      </c>
      <c r="O251">
        <v>1</v>
      </c>
      <c r="P251">
        <v>0</v>
      </c>
      <c r="Q251">
        <v>83</v>
      </c>
      <c r="R251">
        <v>5</v>
      </c>
      <c r="CC251" t="s">
        <v>123</v>
      </c>
      <c r="CD251">
        <v>72</v>
      </c>
    </row>
    <row r="252" spans="1:82" x14ac:dyDescent="0.25">
      <c r="A252">
        <v>253</v>
      </c>
      <c r="B252" t="s">
        <v>34</v>
      </c>
      <c r="C252" t="s">
        <v>35</v>
      </c>
      <c r="D252" t="s">
        <v>36</v>
      </c>
      <c r="E252" t="s">
        <v>49</v>
      </c>
      <c r="F252" t="s">
        <v>38</v>
      </c>
      <c r="G252" t="s">
        <v>93</v>
      </c>
      <c r="H252">
        <v>2024</v>
      </c>
      <c r="I252">
        <v>3</v>
      </c>
      <c r="J252" t="s">
        <v>40</v>
      </c>
      <c r="K252" t="s">
        <v>41</v>
      </c>
      <c r="L252" t="s">
        <v>53</v>
      </c>
      <c r="M252">
        <v>1</v>
      </c>
      <c r="N252">
        <v>8</v>
      </c>
      <c r="O252">
        <v>1</v>
      </c>
      <c r="P252">
        <v>1</v>
      </c>
      <c r="Q252">
        <v>70</v>
      </c>
      <c r="R252">
        <v>10</v>
      </c>
      <c r="CC252" t="s">
        <v>35</v>
      </c>
      <c r="CD252">
        <v>73</v>
      </c>
    </row>
    <row r="253" spans="1:82" x14ac:dyDescent="0.25">
      <c r="A253">
        <v>254</v>
      </c>
      <c r="B253" t="s">
        <v>42</v>
      </c>
      <c r="C253" t="s">
        <v>43</v>
      </c>
      <c r="D253" t="s">
        <v>36</v>
      </c>
      <c r="E253" t="s">
        <v>29</v>
      </c>
      <c r="F253" t="s">
        <v>22</v>
      </c>
      <c r="G253" t="s">
        <v>284</v>
      </c>
      <c r="H253">
        <v>2024</v>
      </c>
      <c r="I253">
        <v>1</v>
      </c>
      <c r="J253" t="s">
        <v>68</v>
      </c>
      <c r="K253" t="s">
        <v>41</v>
      </c>
      <c r="L253" t="s">
        <v>85</v>
      </c>
      <c r="M253">
        <v>0</v>
      </c>
      <c r="N253">
        <v>8</v>
      </c>
      <c r="O253">
        <v>0</v>
      </c>
      <c r="P253">
        <v>0</v>
      </c>
      <c r="Q253">
        <v>0</v>
      </c>
      <c r="R253">
        <v>0</v>
      </c>
      <c r="CC253" t="s">
        <v>43</v>
      </c>
      <c r="CD253">
        <v>83</v>
      </c>
    </row>
    <row r="254" spans="1:82" x14ac:dyDescent="0.25">
      <c r="A254">
        <v>255</v>
      </c>
      <c r="B254" t="s">
        <v>122</v>
      </c>
      <c r="C254" t="s">
        <v>123</v>
      </c>
      <c r="D254" t="s">
        <v>20</v>
      </c>
      <c r="E254" t="s">
        <v>37</v>
      </c>
      <c r="F254" t="s">
        <v>71</v>
      </c>
      <c r="G254" t="s">
        <v>285</v>
      </c>
      <c r="H254">
        <v>2025</v>
      </c>
      <c r="I254">
        <v>10</v>
      </c>
      <c r="J254" t="s">
        <v>105</v>
      </c>
      <c r="K254" t="s">
        <v>52</v>
      </c>
      <c r="L254" t="s">
        <v>53</v>
      </c>
      <c r="M254">
        <v>1</v>
      </c>
      <c r="N254">
        <v>8</v>
      </c>
      <c r="O254">
        <v>1</v>
      </c>
      <c r="P254">
        <v>3</v>
      </c>
      <c r="Q254">
        <v>70</v>
      </c>
      <c r="R254">
        <v>6</v>
      </c>
      <c r="CC254" t="s">
        <v>123</v>
      </c>
      <c r="CD254">
        <v>82</v>
      </c>
    </row>
    <row r="255" spans="1:82" x14ac:dyDescent="0.25">
      <c r="A255">
        <v>256</v>
      </c>
      <c r="B255" t="s">
        <v>27</v>
      </c>
      <c r="C255" t="s">
        <v>28</v>
      </c>
      <c r="D255" t="s">
        <v>20</v>
      </c>
      <c r="E255" t="s">
        <v>54</v>
      </c>
      <c r="F255" t="s">
        <v>30</v>
      </c>
      <c r="G255" t="s">
        <v>274</v>
      </c>
      <c r="H255">
        <v>2025</v>
      </c>
      <c r="I255">
        <v>4</v>
      </c>
      <c r="J255" t="s">
        <v>89</v>
      </c>
      <c r="K255" t="s">
        <v>48</v>
      </c>
      <c r="L255" t="s">
        <v>61</v>
      </c>
      <c r="M255">
        <v>0</v>
      </c>
      <c r="N255">
        <v>8</v>
      </c>
      <c r="O255">
        <v>0</v>
      </c>
      <c r="P255">
        <v>0</v>
      </c>
      <c r="Q255">
        <v>0</v>
      </c>
      <c r="R255">
        <v>0</v>
      </c>
      <c r="CC255" t="s">
        <v>28</v>
      </c>
      <c r="CD255">
        <v>75</v>
      </c>
    </row>
    <row r="256" spans="1:82" x14ac:dyDescent="0.25">
      <c r="A256">
        <v>257</v>
      </c>
      <c r="B256" t="s">
        <v>18</v>
      </c>
      <c r="C256" t="s">
        <v>19</v>
      </c>
      <c r="D256" t="s">
        <v>20</v>
      </c>
      <c r="E256" t="s">
        <v>29</v>
      </c>
      <c r="F256" t="s">
        <v>22</v>
      </c>
      <c r="G256" t="s">
        <v>286</v>
      </c>
      <c r="H256">
        <v>2025</v>
      </c>
      <c r="I256">
        <v>8</v>
      </c>
      <c r="J256" t="s">
        <v>107</v>
      </c>
      <c r="K256" t="s">
        <v>25</v>
      </c>
      <c r="L256" t="s">
        <v>45</v>
      </c>
      <c r="M256">
        <v>1</v>
      </c>
      <c r="N256">
        <v>8</v>
      </c>
      <c r="O256">
        <v>1</v>
      </c>
      <c r="P256">
        <v>0</v>
      </c>
      <c r="Q256">
        <v>75</v>
      </c>
      <c r="R256">
        <v>6</v>
      </c>
      <c r="CC256" t="s">
        <v>19</v>
      </c>
      <c r="CD256">
        <v>68</v>
      </c>
    </row>
    <row r="257" spans="1:82" x14ac:dyDescent="0.25">
      <c r="A257">
        <v>258</v>
      </c>
      <c r="B257" t="s">
        <v>65</v>
      </c>
      <c r="C257" t="s">
        <v>66</v>
      </c>
      <c r="D257" t="s">
        <v>36</v>
      </c>
      <c r="E257" t="s">
        <v>29</v>
      </c>
      <c r="F257" t="s">
        <v>38</v>
      </c>
      <c r="G257" t="s">
        <v>287</v>
      </c>
      <c r="H257">
        <v>2024</v>
      </c>
      <c r="I257">
        <v>11</v>
      </c>
      <c r="J257" t="s">
        <v>74</v>
      </c>
      <c r="K257" t="s">
        <v>52</v>
      </c>
      <c r="L257" t="s">
        <v>85</v>
      </c>
      <c r="M257">
        <v>0</v>
      </c>
      <c r="N257">
        <v>8</v>
      </c>
      <c r="O257">
        <v>0</v>
      </c>
      <c r="P257">
        <v>0</v>
      </c>
      <c r="Q257">
        <v>0</v>
      </c>
      <c r="R257">
        <v>0</v>
      </c>
      <c r="CC257" t="s">
        <v>66</v>
      </c>
      <c r="CD257">
        <v>92</v>
      </c>
    </row>
    <row r="258" spans="1:82" x14ac:dyDescent="0.25">
      <c r="A258">
        <v>259</v>
      </c>
      <c r="B258" t="s">
        <v>18</v>
      </c>
      <c r="C258" t="s">
        <v>19</v>
      </c>
      <c r="D258" t="s">
        <v>20</v>
      </c>
      <c r="E258" t="s">
        <v>49</v>
      </c>
      <c r="F258" t="s">
        <v>22</v>
      </c>
      <c r="G258" t="s">
        <v>288</v>
      </c>
      <c r="H258">
        <v>2024</v>
      </c>
      <c r="I258">
        <v>2</v>
      </c>
      <c r="J258" t="s">
        <v>84</v>
      </c>
      <c r="K258" t="s">
        <v>41</v>
      </c>
      <c r="L258" t="s">
        <v>77</v>
      </c>
      <c r="M258">
        <v>0</v>
      </c>
      <c r="N258">
        <v>8</v>
      </c>
      <c r="O258">
        <v>0</v>
      </c>
      <c r="P258">
        <v>0</v>
      </c>
      <c r="Q258">
        <v>0</v>
      </c>
      <c r="R258">
        <v>0</v>
      </c>
      <c r="CC258" t="s">
        <v>19</v>
      </c>
      <c r="CD258">
        <v>74</v>
      </c>
    </row>
    <row r="259" spans="1:82" x14ac:dyDescent="0.25">
      <c r="A259">
        <v>260</v>
      </c>
      <c r="B259" t="s">
        <v>57</v>
      </c>
      <c r="C259" t="s">
        <v>58</v>
      </c>
      <c r="D259" t="s">
        <v>36</v>
      </c>
      <c r="E259" t="s">
        <v>54</v>
      </c>
      <c r="F259" t="s">
        <v>59</v>
      </c>
      <c r="G259" t="s">
        <v>289</v>
      </c>
      <c r="H259">
        <v>2025</v>
      </c>
      <c r="I259">
        <v>12</v>
      </c>
      <c r="J259" t="s">
        <v>51</v>
      </c>
      <c r="K259" t="s">
        <v>52</v>
      </c>
      <c r="L259" t="s">
        <v>33</v>
      </c>
      <c r="M259">
        <v>0</v>
      </c>
      <c r="N259">
        <v>8</v>
      </c>
      <c r="O259">
        <v>0</v>
      </c>
      <c r="P259">
        <v>0</v>
      </c>
      <c r="Q259">
        <v>0</v>
      </c>
      <c r="R259">
        <v>0</v>
      </c>
      <c r="CC259" t="s">
        <v>58</v>
      </c>
      <c r="CD259">
        <v>90</v>
      </c>
    </row>
    <row r="260" spans="1:82" x14ac:dyDescent="0.25">
      <c r="A260">
        <v>261</v>
      </c>
      <c r="B260" t="s">
        <v>27</v>
      </c>
      <c r="C260" t="s">
        <v>28</v>
      </c>
      <c r="D260" t="s">
        <v>20</v>
      </c>
      <c r="E260" t="s">
        <v>37</v>
      </c>
      <c r="F260" t="s">
        <v>30</v>
      </c>
      <c r="G260" t="s">
        <v>290</v>
      </c>
      <c r="H260">
        <v>2024</v>
      </c>
      <c r="I260">
        <v>8</v>
      </c>
      <c r="J260" t="s">
        <v>107</v>
      </c>
      <c r="K260" t="s">
        <v>25</v>
      </c>
      <c r="L260" t="s">
        <v>61</v>
      </c>
      <c r="M260">
        <v>0</v>
      </c>
      <c r="N260">
        <v>8</v>
      </c>
      <c r="O260">
        <v>0</v>
      </c>
      <c r="P260">
        <v>0</v>
      </c>
      <c r="Q260">
        <v>0</v>
      </c>
      <c r="R260">
        <v>0</v>
      </c>
      <c r="CC260" t="s">
        <v>28</v>
      </c>
      <c r="CD260">
        <v>83</v>
      </c>
    </row>
    <row r="261" spans="1:82" x14ac:dyDescent="0.25">
      <c r="A261">
        <v>262</v>
      </c>
      <c r="B261" t="s">
        <v>79</v>
      </c>
      <c r="C261" t="s">
        <v>80</v>
      </c>
      <c r="D261" t="s">
        <v>20</v>
      </c>
      <c r="E261" t="s">
        <v>21</v>
      </c>
      <c r="F261" t="s">
        <v>81</v>
      </c>
      <c r="G261" t="s">
        <v>291</v>
      </c>
      <c r="H261">
        <v>2024</v>
      </c>
      <c r="I261">
        <v>3</v>
      </c>
      <c r="J261" t="s">
        <v>40</v>
      </c>
      <c r="K261" t="s">
        <v>41</v>
      </c>
      <c r="L261" t="s">
        <v>33</v>
      </c>
      <c r="M261">
        <v>0</v>
      </c>
      <c r="N261">
        <v>8</v>
      </c>
      <c r="O261">
        <v>1</v>
      </c>
      <c r="P261">
        <v>2</v>
      </c>
      <c r="Q261">
        <v>69</v>
      </c>
      <c r="R261">
        <v>5</v>
      </c>
      <c r="CC261" t="s">
        <v>80</v>
      </c>
      <c r="CD261">
        <v>80</v>
      </c>
    </row>
    <row r="262" spans="1:82" x14ac:dyDescent="0.25">
      <c r="A262">
        <v>263</v>
      </c>
      <c r="B262" t="s">
        <v>69</v>
      </c>
      <c r="C262" t="s">
        <v>70</v>
      </c>
      <c r="D262" t="s">
        <v>36</v>
      </c>
      <c r="E262" t="s">
        <v>54</v>
      </c>
      <c r="F262" t="s">
        <v>71</v>
      </c>
      <c r="G262" t="s">
        <v>292</v>
      </c>
      <c r="H262">
        <v>2024</v>
      </c>
      <c r="I262">
        <v>12</v>
      </c>
      <c r="J262" t="s">
        <v>51</v>
      </c>
      <c r="K262" t="s">
        <v>52</v>
      </c>
      <c r="L262" t="s">
        <v>85</v>
      </c>
      <c r="M262">
        <v>0</v>
      </c>
      <c r="N262">
        <v>8</v>
      </c>
      <c r="O262">
        <v>1</v>
      </c>
      <c r="P262">
        <v>0</v>
      </c>
      <c r="Q262">
        <v>76</v>
      </c>
      <c r="R262">
        <v>7</v>
      </c>
      <c r="CC262" t="s">
        <v>70</v>
      </c>
      <c r="CD262">
        <v>86</v>
      </c>
    </row>
    <row r="263" spans="1:82" x14ac:dyDescent="0.25">
      <c r="A263">
        <v>264</v>
      </c>
      <c r="B263" t="s">
        <v>34</v>
      </c>
      <c r="C263" t="s">
        <v>35</v>
      </c>
      <c r="D263" t="s">
        <v>36</v>
      </c>
      <c r="E263" t="s">
        <v>49</v>
      </c>
      <c r="F263" t="s">
        <v>38</v>
      </c>
      <c r="G263" t="s">
        <v>293</v>
      </c>
      <c r="H263">
        <v>2024</v>
      </c>
      <c r="I263">
        <v>5</v>
      </c>
      <c r="J263" t="s">
        <v>47</v>
      </c>
      <c r="K263" t="s">
        <v>48</v>
      </c>
      <c r="L263" t="s">
        <v>53</v>
      </c>
      <c r="M263">
        <v>1</v>
      </c>
      <c r="N263">
        <v>8</v>
      </c>
      <c r="O263">
        <v>0</v>
      </c>
      <c r="P263">
        <v>0</v>
      </c>
      <c r="Q263">
        <v>0</v>
      </c>
      <c r="R263">
        <v>0</v>
      </c>
      <c r="CC263" t="s">
        <v>35</v>
      </c>
      <c r="CD263">
        <v>65</v>
      </c>
    </row>
    <row r="264" spans="1:82" x14ac:dyDescent="0.25">
      <c r="A264">
        <v>265</v>
      </c>
      <c r="B264" t="s">
        <v>34</v>
      </c>
      <c r="C264" t="s">
        <v>35</v>
      </c>
      <c r="D264" t="s">
        <v>36</v>
      </c>
      <c r="E264" t="s">
        <v>21</v>
      </c>
      <c r="F264" t="s">
        <v>38</v>
      </c>
      <c r="G264" t="s">
        <v>102</v>
      </c>
      <c r="H264">
        <v>2024</v>
      </c>
      <c r="I264">
        <v>1</v>
      </c>
      <c r="J264" t="s">
        <v>68</v>
      </c>
      <c r="K264" t="s">
        <v>41</v>
      </c>
      <c r="L264" t="s">
        <v>53</v>
      </c>
      <c r="M264">
        <v>1</v>
      </c>
      <c r="N264">
        <v>8</v>
      </c>
      <c r="O264">
        <v>0</v>
      </c>
      <c r="P264">
        <v>0</v>
      </c>
      <c r="Q264">
        <v>0</v>
      </c>
      <c r="R264">
        <v>0</v>
      </c>
      <c r="CC264" t="s">
        <v>35</v>
      </c>
      <c r="CD264">
        <v>67</v>
      </c>
    </row>
    <row r="265" spans="1:82" x14ac:dyDescent="0.25">
      <c r="A265">
        <v>266</v>
      </c>
      <c r="B265" t="s">
        <v>42</v>
      </c>
      <c r="C265" t="s">
        <v>43</v>
      </c>
      <c r="D265" t="s">
        <v>36</v>
      </c>
      <c r="E265" t="s">
        <v>37</v>
      </c>
      <c r="F265" t="s">
        <v>22</v>
      </c>
      <c r="G265" t="s">
        <v>294</v>
      </c>
      <c r="H265">
        <v>2024</v>
      </c>
      <c r="I265">
        <v>12</v>
      </c>
      <c r="J265" t="s">
        <v>51</v>
      </c>
      <c r="K265" t="s">
        <v>52</v>
      </c>
      <c r="L265" t="s">
        <v>45</v>
      </c>
      <c r="M265">
        <v>1</v>
      </c>
      <c r="N265">
        <v>8</v>
      </c>
      <c r="O265">
        <v>1</v>
      </c>
      <c r="P265">
        <v>3</v>
      </c>
      <c r="Q265">
        <v>78</v>
      </c>
      <c r="R265">
        <v>5</v>
      </c>
      <c r="CC265" t="s">
        <v>43</v>
      </c>
      <c r="CD265">
        <v>83</v>
      </c>
    </row>
    <row r="266" spans="1:82" x14ac:dyDescent="0.25">
      <c r="A266">
        <v>267</v>
      </c>
      <c r="B266" t="s">
        <v>34</v>
      </c>
      <c r="C266" t="s">
        <v>35</v>
      </c>
      <c r="D266" t="s">
        <v>36</v>
      </c>
      <c r="E266" t="s">
        <v>21</v>
      </c>
      <c r="F266" t="s">
        <v>38</v>
      </c>
      <c r="G266" t="s">
        <v>295</v>
      </c>
      <c r="H266">
        <v>2025</v>
      </c>
      <c r="I266">
        <v>10</v>
      </c>
      <c r="J266" t="s">
        <v>105</v>
      </c>
      <c r="K266" t="s">
        <v>52</v>
      </c>
      <c r="L266" t="s">
        <v>33</v>
      </c>
      <c r="M266">
        <v>0</v>
      </c>
      <c r="N266">
        <v>8</v>
      </c>
      <c r="O266">
        <v>1</v>
      </c>
      <c r="P266">
        <v>3</v>
      </c>
      <c r="Q266">
        <v>68</v>
      </c>
      <c r="R266">
        <v>10</v>
      </c>
      <c r="CC266" t="s">
        <v>35</v>
      </c>
      <c r="CD266">
        <v>75</v>
      </c>
    </row>
    <row r="267" spans="1:82" x14ac:dyDescent="0.25">
      <c r="A267">
        <v>268</v>
      </c>
      <c r="B267" t="s">
        <v>34</v>
      </c>
      <c r="C267" t="s">
        <v>35</v>
      </c>
      <c r="D267" t="s">
        <v>36</v>
      </c>
      <c r="E267" t="s">
        <v>49</v>
      </c>
      <c r="F267" t="s">
        <v>38</v>
      </c>
      <c r="G267" t="s">
        <v>208</v>
      </c>
      <c r="H267">
        <v>2024</v>
      </c>
      <c r="I267">
        <v>12</v>
      </c>
      <c r="J267" t="s">
        <v>51</v>
      </c>
      <c r="K267" t="s">
        <v>52</v>
      </c>
      <c r="L267" t="s">
        <v>53</v>
      </c>
      <c r="M267">
        <v>1</v>
      </c>
      <c r="N267">
        <v>8</v>
      </c>
      <c r="O267">
        <v>1</v>
      </c>
      <c r="P267">
        <v>2</v>
      </c>
      <c r="Q267">
        <v>69</v>
      </c>
      <c r="R267">
        <v>3</v>
      </c>
      <c r="CC267" t="s">
        <v>35</v>
      </c>
      <c r="CD267">
        <v>95</v>
      </c>
    </row>
    <row r="268" spans="1:82" x14ac:dyDescent="0.25">
      <c r="A268">
        <v>269</v>
      </c>
      <c r="B268" t="s">
        <v>42</v>
      </c>
      <c r="C268" t="s">
        <v>43</v>
      </c>
      <c r="D268" t="s">
        <v>36</v>
      </c>
      <c r="E268" t="s">
        <v>37</v>
      </c>
      <c r="F268" t="s">
        <v>22</v>
      </c>
      <c r="G268" t="s">
        <v>296</v>
      </c>
      <c r="H268">
        <v>2025</v>
      </c>
      <c r="I268">
        <v>10</v>
      </c>
      <c r="J268" t="s">
        <v>105</v>
      </c>
      <c r="K268" t="s">
        <v>52</v>
      </c>
      <c r="L268" t="s">
        <v>77</v>
      </c>
      <c r="M268">
        <v>0</v>
      </c>
      <c r="N268">
        <v>8</v>
      </c>
      <c r="O268">
        <v>1</v>
      </c>
      <c r="P268">
        <v>3</v>
      </c>
      <c r="Q268">
        <v>70</v>
      </c>
      <c r="R268">
        <v>0</v>
      </c>
      <c r="CC268" t="s">
        <v>43</v>
      </c>
      <c r="CD268">
        <v>88</v>
      </c>
    </row>
    <row r="269" spans="1:82" x14ac:dyDescent="0.25">
      <c r="A269">
        <v>270</v>
      </c>
      <c r="B269" t="s">
        <v>122</v>
      </c>
      <c r="C269" t="s">
        <v>123</v>
      </c>
      <c r="D269" t="s">
        <v>20</v>
      </c>
      <c r="E269" t="s">
        <v>49</v>
      </c>
      <c r="F269" t="s">
        <v>71</v>
      </c>
      <c r="G269" t="s">
        <v>297</v>
      </c>
      <c r="H269">
        <v>2024</v>
      </c>
      <c r="I269">
        <v>5</v>
      </c>
      <c r="J269" t="s">
        <v>47</v>
      </c>
      <c r="K269" t="s">
        <v>48</v>
      </c>
      <c r="L269" t="s">
        <v>53</v>
      </c>
      <c r="M269">
        <v>1</v>
      </c>
      <c r="N269">
        <v>8</v>
      </c>
      <c r="O269">
        <v>0</v>
      </c>
      <c r="P269">
        <v>0</v>
      </c>
      <c r="Q269">
        <v>0</v>
      </c>
      <c r="R269">
        <v>0</v>
      </c>
      <c r="CC269" t="s">
        <v>123</v>
      </c>
      <c r="CD269">
        <v>77</v>
      </c>
    </row>
    <row r="270" spans="1:82" x14ac:dyDescent="0.25">
      <c r="A270">
        <v>271</v>
      </c>
      <c r="B270" t="s">
        <v>34</v>
      </c>
      <c r="C270" t="s">
        <v>35</v>
      </c>
      <c r="D270" t="s">
        <v>36</v>
      </c>
      <c r="E270" t="s">
        <v>49</v>
      </c>
      <c r="F270" t="s">
        <v>38</v>
      </c>
      <c r="G270" t="s">
        <v>101</v>
      </c>
      <c r="H270">
        <v>2024</v>
      </c>
      <c r="I270">
        <v>9</v>
      </c>
      <c r="J270" t="s">
        <v>24</v>
      </c>
      <c r="K270" t="s">
        <v>25</v>
      </c>
      <c r="L270" t="s">
        <v>61</v>
      </c>
      <c r="M270">
        <v>0</v>
      </c>
      <c r="N270">
        <v>8</v>
      </c>
      <c r="O270">
        <v>1</v>
      </c>
      <c r="P270">
        <v>1</v>
      </c>
      <c r="Q270">
        <v>84</v>
      </c>
      <c r="R270">
        <v>10</v>
      </c>
      <c r="CC270" t="s">
        <v>35</v>
      </c>
      <c r="CD270">
        <v>95</v>
      </c>
    </row>
    <row r="271" spans="1:82" x14ac:dyDescent="0.25">
      <c r="A271">
        <v>272</v>
      </c>
      <c r="B271" t="s">
        <v>65</v>
      </c>
      <c r="C271" t="s">
        <v>66</v>
      </c>
      <c r="D271" t="s">
        <v>36</v>
      </c>
      <c r="E271" t="s">
        <v>49</v>
      </c>
      <c r="F271" t="s">
        <v>38</v>
      </c>
      <c r="G271" t="s">
        <v>298</v>
      </c>
      <c r="H271">
        <v>2024</v>
      </c>
      <c r="I271">
        <v>2</v>
      </c>
      <c r="J271" t="s">
        <v>84</v>
      </c>
      <c r="K271" t="s">
        <v>41</v>
      </c>
      <c r="L271" t="s">
        <v>26</v>
      </c>
      <c r="M271">
        <v>0</v>
      </c>
      <c r="N271">
        <v>8</v>
      </c>
      <c r="O271">
        <v>0</v>
      </c>
      <c r="P271">
        <v>0</v>
      </c>
      <c r="Q271">
        <v>0</v>
      </c>
      <c r="R271">
        <v>0</v>
      </c>
      <c r="CC271" t="s">
        <v>66</v>
      </c>
      <c r="CD271">
        <v>72</v>
      </c>
    </row>
    <row r="272" spans="1:82" x14ac:dyDescent="0.25">
      <c r="A272">
        <v>273</v>
      </c>
      <c r="B272" t="s">
        <v>27</v>
      </c>
      <c r="C272" t="s">
        <v>28</v>
      </c>
      <c r="D272" t="s">
        <v>20</v>
      </c>
      <c r="E272" t="s">
        <v>29</v>
      </c>
      <c r="F272" t="s">
        <v>30</v>
      </c>
      <c r="G272" t="s">
        <v>299</v>
      </c>
      <c r="H272">
        <v>2024</v>
      </c>
      <c r="I272">
        <v>9</v>
      </c>
      <c r="J272" t="s">
        <v>24</v>
      </c>
      <c r="K272" t="s">
        <v>25</v>
      </c>
      <c r="L272" t="s">
        <v>61</v>
      </c>
      <c r="M272">
        <v>0</v>
      </c>
      <c r="N272">
        <v>8</v>
      </c>
      <c r="O272">
        <v>1</v>
      </c>
      <c r="P272">
        <v>1</v>
      </c>
      <c r="Q272">
        <v>81</v>
      </c>
      <c r="R272">
        <v>8</v>
      </c>
      <c r="CC272" t="s">
        <v>28</v>
      </c>
      <c r="CD272">
        <v>82</v>
      </c>
    </row>
    <row r="273" spans="1:82" x14ac:dyDescent="0.25">
      <c r="A273">
        <v>274</v>
      </c>
      <c r="B273" t="s">
        <v>122</v>
      </c>
      <c r="C273" t="s">
        <v>123</v>
      </c>
      <c r="D273" t="s">
        <v>20</v>
      </c>
      <c r="E273" t="s">
        <v>29</v>
      </c>
      <c r="F273" t="s">
        <v>71</v>
      </c>
      <c r="G273" t="s">
        <v>300</v>
      </c>
      <c r="H273">
        <v>2024</v>
      </c>
      <c r="I273">
        <v>5</v>
      </c>
      <c r="J273" t="s">
        <v>47</v>
      </c>
      <c r="K273" t="s">
        <v>48</v>
      </c>
      <c r="L273" t="s">
        <v>61</v>
      </c>
      <c r="M273">
        <v>0</v>
      </c>
      <c r="N273">
        <v>8</v>
      </c>
      <c r="O273">
        <v>1</v>
      </c>
      <c r="P273">
        <v>3</v>
      </c>
      <c r="Q273">
        <v>73</v>
      </c>
      <c r="R273">
        <v>3</v>
      </c>
      <c r="CC273" t="s">
        <v>123</v>
      </c>
      <c r="CD273">
        <v>76</v>
      </c>
    </row>
    <row r="274" spans="1:82" x14ac:dyDescent="0.25">
      <c r="A274">
        <v>275</v>
      </c>
      <c r="B274" t="s">
        <v>62</v>
      </c>
      <c r="C274" t="s">
        <v>63</v>
      </c>
      <c r="D274" t="s">
        <v>20</v>
      </c>
      <c r="E274" t="s">
        <v>37</v>
      </c>
      <c r="F274" t="s">
        <v>38</v>
      </c>
      <c r="G274" t="s">
        <v>233</v>
      </c>
      <c r="H274">
        <v>2024</v>
      </c>
      <c r="I274">
        <v>7</v>
      </c>
      <c r="J274" t="s">
        <v>32</v>
      </c>
      <c r="K274" t="s">
        <v>25</v>
      </c>
      <c r="L274" t="s">
        <v>26</v>
      </c>
      <c r="M274">
        <v>0</v>
      </c>
      <c r="N274">
        <v>8</v>
      </c>
      <c r="O274">
        <v>0</v>
      </c>
      <c r="P274">
        <v>0</v>
      </c>
      <c r="Q274">
        <v>0</v>
      </c>
      <c r="R274">
        <v>0</v>
      </c>
      <c r="CC274" t="s">
        <v>63</v>
      </c>
      <c r="CD274">
        <v>80</v>
      </c>
    </row>
    <row r="275" spans="1:82" x14ac:dyDescent="0.25">
      <c r="A275">
        <v>276</v>
      </c>
      <c r="B275" t="s">
        <v>27</v>
      </c>
      <c r="C275" t="s">
        <v>28</v>
      </c>
      <c r="D275" t="s">
        <v>20</v>
      </c>
      <c r="E275" t="s">
        <v>21</v>
      </c>
      <c r="F275" t="s">
        <v>30</v>
      </c>
      <c r="G275" t="s">
        <v>301</v>
      </c>
      <c r="H275">
        <v>2025</v>
      </c>
      <c r="I275">
        <v>1</v>
      </c>
      <c r="J275" t="s">
        <v>68</v>
      </c>
      <c r="K275" t="s">
        <v>41</v>
      </c>
      <c r="L275" t="s">
        <v>85</v>
      </c>
      <c r="M275">
        <v>0</v>
      </c>
      <c r="N275">
        <v>8</v>
      </c>
      <c r="O275">
        <v>0</v>
      </c>
      <c r="P275">
        <v>0</v>
      </c>
      <c r="Q275">
        <v>0</v>
      </c>
      <c r="R275">
        <v>0</v>
      </c>
      <c r="CC275" t="s">
        <v>28</v>
      </c>
      <c r="CD275">
        <v>60</v>
      </c>
    </row>
    <row r="276" spans="1:82" x14ac:dyDescent="0.25">
      <c r="A276">
        <v>277</v>
      </c>
      <c r="B276" t="s">
        <v>122</v>
      </c>
      <c r="C276" t="s">
        <v>123</v>
      </c>
      <c r="D276" t="s">
        <v>20</v>
      </c>
      <c r="E276" t="s">
        <v>29</v>
      </c>
      <c r="F276" t="s">
        <v>71</v>
      </c>
      <c r="G276" t="s">
        <v>302</v>
      </c>
      <c r="H276">
        <v>2024</v>
      </c>
      <c r="I276">
        <v>11</v>
      </c>
      <c r="J276" t="s">
        <v>74</v>
      </c>
      <c r="K276" t="s">
        <v>52</v>
      </c>
      <c r="L276" t="s">
        <v>77</v>
      </c>
      <c r="M276">
        <v>0</v>
      </c>
      <c r="N276">
        <v>8</v>
      </c>
      <c r="O276">
        <v>1</v>
      </c>
      <c r="P276">
        <v>0</v>
      </c>
      <c r="Q276">
        <v>66</v>
      </c>
      <c r="R276">
        <v>9</v>
      </c>
      <c r="CC276" t="s">
        <v>123</v>
      </c>
      <c r="CD276">
        <v>84</v>
      </c>
    </row>
    <row r="277" spans="1:82" x14ac:dyDescent="0.25">
      <c r="A277">
        <v>278</v>
      </c>
      <c r="B277" t="s">
        <v>122</v>
      </c>
      <c r="C277" t="s">
        <v>123</v>
      </c>
      <c r="D277" t="s">
        <v>20</v>
      </c>
      <c r="E277" t="s">
        <v>49</v>
      </c>
      <c r="F277" t="s">
        <v>71</v>
      </c>
      <c r="G277" t="s">
        <v>303</v>
      </c>
      <c r="H277">
        <v>2025</v>
      </c>
      <c r="I277">
        <v>12</v>
      </c>
      <c r="J277" t="s">
        <v>51</v>
      </c>
      <c r="K277" t="s">
        <v>52</v>
      </c>
      <c r="L277" t="s">
        <v>77</v>
      </c>
      <c r="M277">
        <v>0</v>
      </c>
      <c r="N277">
        <v>8</v>
      </c>
      <c r="O277">
        <v>0</v>
      </c>
      <c r="P277">
        <v>0</v>
      </c>
      <c r="Q277">
        <v>0</v>
      </c>
      <c r="R277">
        <v>0</v>
      </c>
      <c r="CC277" t="s">
        <v>123</v>
      </c>
      <c r="CD277">
        <v>60</v>
      </c>
    </row>
    <row r="278" spans="1:82" x14ac:dyDescent="0.25">
      <c r="A278">
        <v>279</v>
      </c>
      <c r="B278" t="s">
        <v>79</v>
      </c>
      <c r="C278" t="s">
        <v>80</v>
      </c>
      <c r="D278" t="s">
        <v>20</v>
      </c>
      <c r="E278" t="s">
        <v>54</v>
      </c>
      <c r="F278" t="s">
        <v>81</v>
      </c>
      <c r="G278" t="s">
        <v>304</v>
      </c>
      <c r="H278">
        <v>2025</v>
      </c>
      <c r="I278">
        <v>3</v>
      </c>
      <c r="J278" t="s">
        <v>40</v>
      </c>
      <c r="K278" t="s">
        <v>41</v>
      </c>
      <c r="L278" t="s">
        <v>45</v>
      </c>
      <c r="M278">
        <v>1</v>
      </c>
      <c r="N278">
        <v>8</v>
      </c>
      <c r="O278">
        <v>1</v>
      </c>
      <c r="P278">
        <v>1</v>
      </c>
      <c r="Q278">
        <v>75</v>
      </c>
      <c r="R278">
        <v>10</v>
      </c>
      <c r="CC278" t="s">
        <v>80</v>
      </c>
      <c r="CD278">
        <v>83</v>
      </c>
    </row>
    <row r="279" spans="1:82" x14ac:dyDescent="0.25">
      <c r="A279">
        <v>280</v>
      </c>
      <c r="B279" t="s">
        <v>34</v>
      </c>
      <c r="C279" t="s">
        <v>35</v>
      </c>
      <c r="D279" t="s">
        <v>36</v>
      </c>
      <c r="E279" t="s">
        <v>37</v>
      </c>
      <c r="F279" t="s">
        <v>38</v>
      </c>
      <c r="G279" t="s">
        <v>305</v>
      </c>
      <c r="H279">
        <v>2024</v>
      </c>
      <c r="I279">
        <v>4</v>
      </c>
      <c r="J279" t="s">
        <v>89</v>
      </c>
      <c r="K279" t="s">
        <v>48</v>
      </c>
      <c r="L279" t="s">
        <v>85</v>
      </c>
      <c r="M279">
        <v>0</v>
      </c>
      <c r="N279">
        <v>8</v>
      </c>
      <c r="O279">
        <v>0</v>
      </c>
      <c r="P279">
        <v>0</v>
      </c>
      <c r="Q279">
        <v>0</v>
      </c>
      <c r="R279">
        <v>0</v>
      </c>
      <c r="CC279" t="s">
        <v>35</v>
      </c>
      <c r="CD279">
        <v>63</v>
      </c>
    </row>
    <row r="280" spans="1:82" x14ac:dyDescent="0.25">
      <c r="A280">
        <v>281</v>
      </c>
      <c r="B280" t="s">
        <v>122</v>
      </c>
      <c r="C280" t="s">
        <v>123</v>
      </c>
      <c r="D280" t="s">
        <v>20</v>
      </c>
      <c r="E280" t="s">
        <v>29</v>
      </c>
      <c r="F280" t="s">
        <v>71</v>
      </c>
      <c r="G280" t="s">
        <v>303</v>
      </c>
      <c r="H280">
        <v>2025</v>
      </c>
      <c r="I280">
        <v>12</v>
      </c>
      <c r="J280" t="s">
        <v>51</v>
      </c>
      <c r="K280" t="s">
        <v>52</v>
      </c>
      <c r="L280" t="s">
        <v>77</v>
      </c>
      <c r="M280">
        <v>0</v>
      </c>
      <c r="N280">
        <v>8</v>
      </c>
      <c r="O280">
        <v>1</v>
      </c>
      <c r="P280">
        <v>3</v>
      </c>
      <c r="Q280">
        <v>85</v>
      </c>
      <c r="R280">
        <v>8</v>
      </c>
      <c r="CC280" t="s">
        <v>123</v>
      </c>
      <c r="CD280">
        <v>75</v>
      </c>
    </row>
    <row r="281" spans="1:82" x14ac:dyDescent="0.25">
      <c r="A281">
        <v>282</v>
      </c>
      <c r="B281" t="s">
        <v>65</v>
      </c>
      <c r="C281" t="s">
        <v>66</v>
      </c>
      <c r="D281" t="s">
        <v>36</v>
      </c>
      <c r="E281" t="s">
        <v>29</v>
      </c>
      <c r="F281" t="s">
        <v>38</v>
      </c>
      <c r="G281" t="s">
        <v>198</v>
      </c>
      <c r="H281">
        <v>2025</v>
      </c>
      <c r="I281">
        <v>6</v>
      </c>
      <c r="J281" t="s">
        <v>76</v>
      </c>
      <c r="K281" t="s">
        <v>48</v>
      </c>
      <c r="L281" t="s">
        <v>53</v>
      </c>
      <c r="M281">
        <v>1</v>
      </c>
      <c r="N281">
        <v>8</v>
      </c>
      <c r="O281">
        <v>1</v>
      </c>
      <c r="P281">
        <v>1</v>
      </c>
      <c r="Q281">
        <v>65</v>
      </c>
      <c r="R281">
        <v>1</v>
      </c>
      <c r="CC281" t="s">
        <v>66</v>
      </c>
      <c r="CD281">
        <v>86</v>
      </c>
    </row>
    <row r="282" spans="1:82" x14ac:dyDescent="0.25">
      <c r="A282">
        <v>283</v>
      </c>
      <c r="B282" t="s">
        <v>42</v>
      </c>
      <c r="C282" t="s">
        <v>43</v>
      </c>
      <c r="D282" t="s">
        <v>36</v>
      </c>
      <c r="E282" t="s">
        <v>37</v>
      </c>
      <c r="F282" t="s">
        <v>22</v>
      </c>
      <c r="G282" t="s">
        <v>306</v>
      </c>
      <c r="H282">
        <v>2024</v>
      </c>
      <c r="I282">
        <v>7</v>
      </c>
      <c r="J282" t="s">
        <v>32</v>
      </c>
      <c r="K282" t="s">
        <v>25</v>
      </c>
      <c r="L282" t="s">
        <v>85</v>
      </c>
      <c r="M282">
        <v>0</v>
      </c>
      <c r="N282">
        <v>8</v>
      </c>
      <c r="O282">
        <v>1</v>
      </c>
      <c r="P282">
        <v>2</v>
      </c>
      <c r="Q282">
        <v>63</v>
      </c>
      <c r="R282">
        <v>9</v>
      </c>
      <c r="CC282" t="s">
        <v>43</v>
      </c>
      <c r="CD282">
        <v>76</v>
      </c>
    </row>
    <row r="283" spans="1:82" x14ac:dyDescent="0.25">
      <c r="A283">
        <v>284</v>
      </c>
      <c r="B283" t="s">
        <v>69</v>
      </c>
      <c r="C283" t="s">
        <v>70</v>
      </c>
      <c r="D283" t="s">
        <v>36</v>
      </c>
      <c r="E283" t="s">
        <v>37</v>
      </c>
      <c r="F283" t="s">
        <v>71</v>
      </c>
      <c r="G283" t="s">
        <v>307</v>
      </c>
      <c r="H283">
        <v>2024</v>
      </c>
      <c r="I283">
        <v>4</v>
      </c>
      <c r="J283" t="s">
        <v>89</v>
      </c>
      <c r="K283" t="s">
        <v>48</v>
      </c>
      <c r="L283" t="s">
        <v>61</v>
      </c>
      <c r="M283">
        <v>0</v>
      </c>
      <c r="N283">
        <v>8</v>
      </c>
      <c r="O283">
        <v>1</v>
      </c>
      <c r="P283">
        <v>3</v>
      </c>
      <c r="Q283">
        <v>89</v>
      </c>
      <c r="R283">
        <v>4</v>
      </c>
      <c r="CC283" t="s">
        <v>70</v>
      </c>
      <c r="CD283">
        <v>95</v>
      </c>
    </row>
    <row r="284" spans="1:82" x14ac:dyDescent="0.25">
      <c r="A284">
        <v>285</v>
      </c>
      <c r="B284" t="s">
        <v>69</v>
      </c>
      <c r="C284" t="s">
        <v>70</v>
      </c>
      <c r="D284" t="s">
        <v>36</v>
      </c>
      <c r="E284" t="s">
        <v>54</v>
      </c>
      <c r="F284" t="s">
        <v>71</v>
      </c>
      <c r="G284" t="s">
        <v>308</v>
      </c>
      <c r="H284">
        <v>2025</v>
      </c>
      <c r="I284">
        <v>6</v>
      </c>
      <c r="J284" t="s">
        <v>76</v>
      </c>
      <c r="K284" t="s">
        <v>48</v>
      </c>
      <c r="L284" t="s">
        <v>26</v>
      </c>
      <c r="M284">
        <v>0</v>
      </c>
      <c r="N284">
        <v>8</v>
      </c>
      <c r="O284">
        <v>1</v>
      </c>
      <c r="P284">
        <v>3</v>
      </c>
      <c r="Q284">
        <v>82</v>
      </c>
      <c r="R284">
        <v>0</v>
      </c>
      <c r="CC284" t="s">
        <v>70</v>
      </c>
      <c r="CD284">
        <v>81</v>
      </c>
    </row>
    <row r="285" spans="1:82" x14ac:dyDescent="0.25">
      <c r="A285">
        <v>286</v>
      </c>
      <c r="B285" t="s">
        <v>18</v>
      </c>
      <c r="C285" t="s">
        <v>19</v>
      </c>
      <c r="D285" t="s">
        <v>20</v>
      </c>
      <c r="E285" t="s">
        <v>21</v>
      </c>
      <c r="F285" t="s">
        <v>22</v>
      </c>
      <c r="G285" t="s">
        <v>251</v>
      </c>
      <c r="H285">
        <v>2024</v>
      </c>
      <c r="I285">
        <v>4</v>
      </c>
      <c r="J285" t="s">
        <v>89</v>
      </c>
      <c r="K285" t="s">
        <v>48</v>
      </c>
      <c r="L285" t="s">
        <v>85</v>
      </c>
      <c r="M285">
        <v>0</v>
      </c>
      <c r="N285">
        <v>8</v>
      </c>
      <c r="O285">
        <v>1</v>
      </c>
      <c r="P285">
        <v>3</v>
      </c>
      <c r="Q285">
        <v>74</v>
      </c>
      <c r="R285">
        <v>2</v>
      </c>
      <c r="CC285" t="s">
        <v>19</v>
      </c>
      <c r="CD285">
        <v>90</v>
      </c>
    </row>
    <row r="286" spans="1:82" x14ac:dyDescent="0.25">
      <c r="A286">
        <v>287</v>
      </c>
      <c r="B286" t="s">
        <v>34</v>
      </c>
      <c r="C286" t="s">
        <v>35</v>
      </c>
      <c r="D286" t="s">
        <v>36</v>
      </c>
      <c r="E286" t="s">
        <v>29</v>
      </c>
      <c r="F286" t="s">
        <v>38</v>
      </c>
      <c r="G286" t="s">
        <v>309</v>
      </c>
      <c r="H286">
        <v>2024</v>
      </c>
      <c r="I286">
        <v>7</v>
      </c>
      <c r="J286" t="s">
        <v>32</v>
      </c>
      <c r="K286" t="s">
        <v>25</v>
      </c>
      <c r="L286" t="s">
        <v>45</v>
      </c>
      <c r="M286">
        <v>1</v>
      </c>
      <c r="N286">
        <v>8</v>
      </c>
      <c r="O286">
        <v>1</v>
      </c>
      <c r="P286">
        <v>1</v>
      </c>
      <c r="Q286">
        <v>79</v>
      </c>
      <c r="R286">
        <v>0</v>
      </c>
      <c r="CC286" t="s">
        <v>35</v>
      </c>
      <c r="CD286">
        <v>61</v>
      </c>
    </row>
    <row r="287" spans="1:82" x14ac:dyDescent="0.25">
      <c r="A287">
        <v>288</v>
      </c>
      <c r="B287" t="s">
        <v>42</v>
      </c>
      <c r="C287" t="s">
        <v>43</v>
      </c>
      <c r="D287" t="s">
        <v>36</v>
      </c>
      <c r="E287" t="s">
        <v>49</v>
      </c>
      <c r="F287" t="s">
        <v>22</v>
      </c>
      <c r="G287" t="s">
        <v>310</v>
      </c>
      <c r="H287">
        <v>2024</v>
      </c>
      <c r="I287">
        <v>7</v>
      </c>
      <c r="J287" t="s">
        <v>32</v>
      </c>
      <c r="K287" t="s">
        <v>25</v>
      </c>
      <c r="L287" t="s">
        <v>45</v>
      </c>
      <c r="M287">
        <v>1</v>
      </c>
      <c r="N287">
        <v>8</v>
      </c>
      <c r="O287">
        <v>1</v>
      </c>
      <c r="P287">
        <v>1</v>
      </c>
      <c r="Q287">
        <v>87</v>
      </c>
      <c r="R287">
        <v>7</v>
      </c>
      <c r="CC287" t="s">
        <v>43</v>
      </c>
      <c r="CD287">
        <v>78</v>
      </c>
    </row>
    <row r="288" spans="1:82" x14ac:dyDescent="0.25">
      <c r="A288">
        <v>289</v>
      </c>
      <c r="B288" t="s">
        <v>79</v>
      </c>
      <c r="C288" t="s">
        <v>80</v>
      </c>
      <c r="D288" t="s">
        <v>20</v>
      </c>
      <c r="E288" t="s">
        <v>49</v>
      </c>
      <c r="F288" t="s">
        <v>81</v>
      </c>
      <c r="G288" t="s">
        <v>311</v>
      </c>
      <c r="H288">
        <v>2024</v>
      </c>
      <c r="I288">
        <v>2</v>
      </c>
      <c r="J288" t="s">
        <v>84</v>
      </c>
      <c r="K288" t="s">
        <v>41</v>
      </c>
      <c r="L288" t="s">
        <v>45</v>
      </c>
      <c r="M288">
        <v>1</v>
      </c>
      <c r="N288">
        <v>8</v>
      </c>
      <c r="O288">
        <v>1</v>
      </c>
      <c r="P288">
        <v>2</v>
      </c>
      <c r="Q288">
        <v>86</v>
      </c>
      <c r="R288">
        <v>5</v>
      </c>
      <c r="CC288" t="s">
        <v>80</v>
      </c>
      <c r="CD288">
        <v>70</v>
      </c>
    </row>
    <row r="289" spans="1:82" x14ac:dyDescent="0.25">
      <c r="A289">
        <v>290</v>
      </c>
      <c r="B289" t="s">
        <v>18</v>
      </c>
      <c r="C289" t="s">
        <v>19</v>
      </c>
      <c r="D289" t="s">
        <v>20</v>
      </c>
      <c r="E289" t="s">
        <v>54</v>
      </c>
      <c r="F289" t="s">
        <v>22</v>
      </c>
      <c r="G289" t="s">
        <v>312</v>
      </c>
      <c r="H289">
        <v>2025</v>
      </c>
      <c r="I289">
        <v>4</v>
      </c>
      <c r="J289" t="s">
        <v>89</v>
      </c>
      <c r="K289" t="s">
        <v>48</v>
      </c>
      <c r="L289" t="s">
        <v>26</v>
      </c>
      <c r="M289">
        <v>0</v>
      </c>
      <c r="N289">
        <v>8</v>
      </c>
      <c r="O289">
        <v>0</v>
      </c>
      <c r="P289">
        <v>0</v>
      </c>
      <c r="Q289">
        <v>0</v>
      </c>
      <c r="R289">
        <v>0</v>
      </c>
      <c r="CC289" t="s">
        <v>19</v>
      </c>
      <c r="CD289">
        <v>83</v>
      </c>
    </row>
    <row r="290" spans="1:82" x14ac:dyDescent="0.25">
      <c r="A290">
        <v>291</v>
      </c>
      <c r="B290" t="s">
        <v>18</v>
      </c>
      <c r="C290" t="s">
        <v>19</v>
      </c>
      <c r="D290" t="s">
        <v>20</v>
      </c>
      <c r="E290" t="s">
        <v>54</v>
      </c>
      <c r="F290" t="s">
        <v>22</v>
      </c>
      <c r="G290" t="s">
        <v>304</v>
      </c>
      <c r="H290">
        <v>2025</v>
      </c>
      <c r="I290">
        <v>3</v>
      </c>
      <c r="J290" t="s">
        <v>40</v>
      </c>
      <c r="K290" t="s">
        <v>41</v>
      </c>
      <c r="L290" t="s">
        <v>45</v>
      </c>
      <c r="M290">
        <v>1</v>
      </c>
      <c r="N290">
        <v>8</v>
      </c>
      <c r="O290">
        <v>0</v>
      </c>
      <c r="P290">
        <v>0</v>
      </c>
      <c r="Q290">
        <v>0</v>
      </c>
      <c r="R290">
        <v>0</v>
      </c>
      <c r="CC290" t="s">
        <v>19</v>
      </c>
      <c r="CD290">
        <v>72</v>
      </c>
    </row>
    <row r="291" spans="1:82" x14ac:dyDescent="0.25">
      <c r="A291">
        <v>292</v>
      </c>
      <c r="B291" t="s">
        <v>69</v>
      </c>
      <c r="C291" t="s">
        <v>70</v>
      </c>
      <c r="D291" t="s">
        <v>36</v>
      </c>
      <c r="E291" t="s">
        <v>29</v>
      </c>
      <c r="F291" t="s">
        <v>71</v>
      </c>
      <c r="G291" t="s">
        <v>274</v>
      </c>
      <c r="H291">
        <v>2025</v>
      </c>
      <c r="I291">
        <v>4</v>
      </c>
      <c r="J291" t="s">
        <v>89</v>
      </c>
      <c r="K291" t="s">
        <v>48</v>
      </c>
      <c r="L291" t="s">
        <v>61</v>
      </c>
      <c r="M291">
        <v>0</v>
      </c>
      <c r="N291">
        <v>8</v>
      </c>
      <c r="O291">
        <v>1</v>
      </c>
      <c r="P291">
        <v>0</v>
      </c>
      <c r="Q291">
        <v>71</v>
      </c>
      <c r="R291">
        <v>8</v>
      </c>
      <c r="CC291" t="s">
        <v>70</v>
      </c>
      <c r="CD291">
        <v>77</v>
      </c>
    </row>
    <row r="292" spans="1:82" x14ac:dyDescent="0.25">
      <c r="A292">
        <v>293</v>
      </c>
      <c r="B292" t="s">
        <v>69</v>
      </c>
      <c r="C292" t="s">
        <v>70</v>
      </c>
      <c r="D292" t="s">
        <v>36</v>
      </c>
      <c r="E292" t="s">
        <v>37</v>
      </c>
      <c r="F292" t="s">
        <v>71</v>
      </c>
      <c r="G292" t="s">
        <v>313</v>
      </c>
      <c r="H292">
        <v>2025</v>
      </c>
      <c r="I292">
        <v>11</v>
      </c>
      <c r="J292" t="s">
        <v>74</v>
      </c>
      <c r="K292" t="s">
        <v>52</v>
      </c>
      <c r="L292" t="s">
        <v>45</v>
      </c>
      <c r="M292">
        <v>1</v>
      </c>
      <c r="N292">
        <v>8</v>
      </c>
      <c r="O292">
        <v>1</v>
      </c>
      <c r="P292">
        <v>3</v>
      </c>
      <c r="Q292">
        <v>69</v>
      </c>
      <c r="R292">
        <v>2</v>
      </c>
      <c r="CC292" t="s">
        <v>70</v>
      </c>
      <c r="CD292">
        <v>84</v>
      </c>
    </row>
    <row r="293" spans="1:82" x14ac:dyDescent="0.25">
      <c r="A293">
        <v>294</v>
      </c>
      <c r="B293" t="s">
        <v>57</v>
      </c>
      <c r="C293" t="s">
        <v>58</v>
      </c>
      <c r="D293" t="s">
        <v>36</v>
      </c>
      <c r="E293" t="s">
        <v>49</v>
      </c>
      <c r="F293" t="s">
        <v>59</v>
      </c>
      <c r="G293" t="s">
        <v>314</v>
      </c>
      <c r="H293">
        <v>2024</v>
      </c>
      <c r="I293">
        <v>8</v>
      </c>
      <c r="J293" t="s">
        <v>107</v>
      </c>
      <c r="K293" t="s">
        <v>25</v>
      </c>
      <c r="L293" t="s">
        <v>77</v>
      </c>
      <c r="M293">
        <v>0</v>
      </c>
      <c r="N293">
        <v>8</v>
      </c>
      <c r="O293">
        <v>1</v>
      </c>
      <c r="P293">
        <v>3</v>
      </c>
      <c r="Q293">
        <v>67</v>
      </c>
      <c r="R293">
        <v>7</v>
      </c>
      <c r="CC293" t="s">
        <v>58</v>
      </c>
      <c r="CD293">
        <v>60</v>
      </c>
    </row>
    <row r="294" spans="1:82" x14ac:dyDescent="0.25">
      <c r="A294">
        <v>295</v>
      </c>
      <c r="B294" t="s">
        <v>122</v>
      </c>
      <c r="C294" t="s">
        <v>123</v>
      </c>
      <c r="D294" t="s">
        <v>20</v>
      </c>
      <c r="E294" t="s">
        <v>29</v>
      </c>
      <c r="F294" t="s">
        <v>71</v>
      </c>
      <c r="G294" t="s">
        <v>259</v>
      </c>
      <c r="H294">
        <v>2025</v>
      </c>
      <c r="I294">
        <v>6</v>
      </c>
      <c r="J294" t="s">
        <v>76</v>
      </c>
      <c r="K294" t="s">
        <v>48</v>
      </c>
      <c r="L294" t="s">
        <v>85</v>
      </c>
      <c r="M294">
        <v>0</v>
      </c>
      <c r="N294">
        <v>8</v>
      </c>
      <c r="O294">
        <v>1</v>
      </c>
      <c r="P294">
        <v>0</v>
      </c>
      <c r="Q294">
        <v>89</v>
      </c>
      <c r="R294">
        <v>4</v>
      </c>
      <c r="CC294" t="s">
        <v>123</v>
      </c>
      <c r="CD294">
        <v>61</v>
      </c>
    </row>
    <row r="295" spans="1:82" x14ac:dyDescent="0.25">
      <c r="A295">
        <v>296</v>
      </c>
      <c r="B295" t="s">
        <v>57</v>
      </c>
      <c r="C295" t="s">
        <v>58</v>
      </c>
      <c r="D295" t="s">
        <v>36</v>
      </c>
      <c r="E295" t="s">
        <v>29</v>
      </c>
      <c r="F295" t="s">
        <v>59</v>
      </c>
      <c r="G295" t="s">
        <v>315</v>
      </c>
      <c r="H295">
        <v>2024</v>
      </c>
      <c r="I295">
        <v>7</v>
      </c>
      <c r="J295" t="s">
        <v>32</v>
      </c>
      <c r="K295" t="s">
        <v>25</v>
      </c>
      <c r="L295" t="s">
        <v>61</v>
      </c>
      <c r="M295">
        <v>0</v>
      </c>
      <c r="N295">
        <v>8</v>
      </c>
      <c r="O295">
        <v>0</v>
      </c>
      <c r="P295">
        <v>0</v>
      </c>
      <c r="Q295">
        <v>0</v>
      </c>
      <c r="R295">
        <v>0</v>
      </c>
      <c r="CC295" t="s">
        <v>58</v>
      </c>
      <c r="CD295">
        <v>82</v>
      </c>
    </row>
    <row r="296" spans="1:82" x14ac:dyDescent="0.25">
      <c r="A296">
        <v>297</v>
      </c>
      <c r="B296" t="s">
        <v>122</v>
      </c>
      <c r="C296" t="s">
        <v>123</v>
      </c>
      <c r="D296" t="s">
        <v>20</v>
      </c>
      <c r="E296" t="s">
        <v>37</v>
      </c>
      <c r="F296" t="s">
        <v>71</v>
      </c>
      <c r="G296" t="s">
        <v>316</v>
      </c>
      <c r="H296">
        <v>2024</v>
      </c>
      <c r="I296">
        <v>5</v>
      </c>
      <c r="J296" t="s">
        <v>47</v>
      </c>
      <c r="K296" t="s">
        <v>48</v>
      </c>
      <c r="L296" t="s">
        <v>26</v>
      </c>
      <c r="M296">
        <v>0</v>
      </c>
      <c r="N296">
        <v>8</v>
      </c>
      <c r="O296">
        <v>0</v>
      </c>
      <c r="P296">
        <v>0</v>
      </c>
      <c r="Q296">
        <v>0</v>
      </c>
      <c r="R296">
        <v>0</v>
      </c>
      <c r="CC296" t="s">
        <v>123</v>
      </c>
      <c r="CD296">
        <v>80</v>
      </c>
    </row>
    <row r="297" spans="1:82" x14ac:dyDescent="0.25">
      <c r="A297">
        <v>298</v>
      </c>
      <c r="B297" t="s">
        <v>18</v>
      </c>
      <c r="C297" t="s">
        <v>19</v>
      </c>
      <c r="D297" t="s">
        <v>20</v>
      </c>
      <c r="E297" t="s">
        <v>49</v>
      </c>
      <c r="F297" t="s">
        <v>22</v>
      </c>
      <c r="G297" t="s">
        <v>317</v>
      </c>
      <c r="H297">
        <v>2025</v>
      </c>
      <c r="I297">
        <v>2</v>
      </c>
      <c r="J297" t="s">
        <v>84</v>
      </c>
      <c r="K297" t="s">
        <v>41</v>
      </c>
      <c r="L297" t="s">
        <v>85</v>
      </c>
      <c r="M297">
        <v>0</v>
      </c>
      <c r="N297">
        <v>8</v>
      </c>
      <c r="O297">
        <v>1</v>
      </c>
      <c r="P297">
        <v>3</v>
      </c>
      <c r="Q297">
        <v>94</v>
      </c>
      <c r="R297">
        <v>6</v>
      </c>
      <c r="CC297" t="s">
        <v>19</v>
      </c>
      <c r="CD297">
        <v>84</v>
      </c>
    </row>
    <row r="298" spans="1:82" x14ac:dyDescent="0.25">
      <c r="A298">
        <v>299</v>
      </c>
      <c r="B298" t="s">
        <v>62</v>
      </c>
      <c r="C298" t="s">
        <v>63</v>
      </c>
      <c r="D298" t="s">
        <v>20</v>
      </c>
      <c r="E298" t="s">
        <v>49</v>
      </c>
      <c r="F298" t="s">
        <v>38</v>
      </c>
      <c r="G298" t="s">
        <v>318</v>
      </c>
      <c r="H298">
        <v>2025</v>
      </c>
      <c r="I298">
        <v>8</v>
      </c>
      <c r="J298" t="s">
        <v>107</v>
      </c>
      <c r="K298" t="s">
        <v>25</v>
      </c>
      <c r="L298" t="s">
        <v>33</v>
      </c>
      <c r="M298">
        <v>0</v>
      </c>
      <c r="N298">
        <v>8</v>
      </c>
      <c r="O298">
        <v>0</v>
      </c>
      <c r="P298">
        <v>0</v>
      </c>
      <c r="Q298">
        <v>0</v>
      </c>
      <c r="R298">
        <v>0</v>
      </c>
      <c r="CC298" t="s">
        <v>63</v>
      </c>
      <c r="CD298">
        <v>67</v>
      </c>
    </row>
    <row r="299" spans="1:82" x14ac:dyDescent="0.25">
      <c r="A299">
        <v>300</v>
      </c>
      <c r="B299" t="s">
        <v>79</v>
      </c>
      <c r="C299" t="s">
        <v>80</v>
      </c>
      <c r="D299" t="s">
        <v>20</v>
      </c>
      <c r="E299" t="s">
        <v>21</v>
      </c>
      <c r="F299" t="s">
        <v>81</v>
      </c>
      <c r="G299" t="s">
        <v>319</v>
      </c>
      <c r="H299">
        <v>2025</v>
      </c>
      <c r="I299">
        <v>4</v>
      </c>
      <c r="J299" t="s">
        <v>89</v>
      </c>
      <c r="K299" t="s">
        <v>48</v>
      </c>
      <c r="L299" t="s">
        <v>77</v>
      </c>
      <c r="M299">
        <v>0</v>
      </c>
      <c r="N299">
        <v>8</v>
      </c>
      <c r="O299">
        <v>0</v>
      </c>
      <c r="P299">
        <v>0</v>
      </c>
      <c r="Q299">
        <v>0</v>
      </c>
      <c r="R299">
        <v>0</v>
      </c>
      <c r="CC299" t="s">
        <v>80</v>
      </c>
      <c r="CD299">
        <v>82</v>
      </c>
    </row>
    <row r="300" spans="1:82" x14ac:dyDescent="0.25">
      <c r="A300">
        <v>301</v>
      </c>
      <c r="B300" t="s">
        <v>18</v>
      </c>
      <c r="C300" t="s">
        <v>19</v>
      </c>
      <c r="D300" t="s">
        <v>20</v>
      </c>
      <c r="E300" t="s">
        <v>29</v>
      </c>
      <c r="F300" t="s">
        <v>22</v>
      </c>
      <c r="G300" t="s">
        <v>314</v>
      </c>
      <c r="H300">
        <v>2024</v>
      </c>
      <c r="I300">
        <v>8</v>
      </c>
      <c r="J300" t="s">
        <v>107</v>
      </c>
      <c r="K300" t="s">
        <v>25</v>
      </c>
      <c r="L300" t="s">
        <v>77</v>
      </c>
      <c r="M300">
        <v>0</v>
      </c>
      <c r="N300">
        <v>8</v>
      </c>
      <c r="O300">
        <v>0</v>
      </c>
      <c r="P300">
        <v>0</v>
      </c>
      <c r="Q300">
        <v>0</v>
      </c>
      <c r="R300">
        <v>0</v>
      </c>
      <c r="CC300" t="s">
        <v>19</v>
      </c>
      <c r="CD300">
        <v>72</v>
      </c>
    </row>
    <row r="301" spans="1:82" x14ac:dyDescent="0.25">
      <c r="A301">
        <v>302</v>
      </c>
      <c r="B301" t="s">
        <v>42</v>
      </c>
      <c r="C301" t="s">
        <v>43</v>
      </c>
      <c r="D301" t="s">
        <v>36</v>
      </c>
      <c r="E301" t="s">
        <v>37</v>
      </c>
      <c r="F301" t="s">
        <v>22</v>
      </c>
      <c r="G301" t="s">
        <v>320</v>
      </c>
      <c r="H301">
        <v>2025</v>
      </c>
      <c r="I301">
        <v>2</v>
      </c>
      <c r="J301" t="s">
        <v>84</v>
      </c>
      <c r="K301" t="s">
        <v>41</v>
      </c>
      <c r="L301" t="s">
        <v>61</v>
      </c>
      <c r="M301">
        <v>0</v>
      </c>
      <c r="N301">
        <v>8</v>
      </c>
      <c r="O301">
        <v>1</v>
      </c>
      <c r="P301">
        <v>2</v>
      </c>
      <c r="Q301">
        <v>71</v>
      </c>
      <c r="R301">
        <v>2</v>
      </c>
      <c r="CC301" t="s">
        <v>43</v>
      </c>
      <c r="CD301">
        <v>76</v>
      </c>
    </row>
    <row r="302" spans="1:82" x14ac:dyDescent="0.25">
      <c r="A302">
        <v>303</v>
      </c>
      <c r="B302" t="s">
        <v>34</v>
      </c>
      <c r="C302" t="s">
        <v>35</v>
      </c>
      <c r="D302" t="s">
        <v>36</v>
      </c>
      <c r="E302" t="s">
        <v>54</v>
      </c>
      <c r="F302" t="s">
        <v>38</v>
      </c>
      <c r="G302" t="s">
        <v>201</v>
      </c>
      <c r="H302">
        <v>2025</v>
      </c>
      <c r="I302">
        <v>11</v>
      </c>
      <c r="J302" t="s">
        <v>74</v>
      </c>
      <c r="K302" t="s">
        <v>52</v>
      </c>
      <c r="L302" t="s">
        <v>77</v>
      </c>
      <c r="M302">
        <v>0</v>
      </c>
      <c r="N302">
        <v>8</v>
      </c>
      <c r="O302">
        <v>0</v>
      </c>
      <c r="P302">
        <v>0</v>
      </c>
      <c r="Q302">
        <v>0</v>
      </c>
      <c r="R302">
        <v>0</v>
      </c>
      <c r="CC302" t="s">
        <v>35</v>
      </c>
      <c r="CD302">
        <v>77</v>
      </c>
    </row>
    <row r="303" spans="1:82" x14ac:dyDescent="0.25">
      <c r="A303">
        <v>304</v>
      </c>
      <c r="B303" t="s">
        <v>122</v>
      </c>
      <c r="C303" t="s">
        <v>123</v>
      </c>
      <c r="D303" t="s">
        <v>20</v>
      </c>
      <c r="E303" t="s">
        <v>54</v>
      </c>
      <c r="F303" t="s">
        <v>71</v>
      </c>
      <c r="G303" t="s">
        <v>92</v>
      </c>
      <c r="H303">
        <v>2024</v>
      </c>
      <c r="I303">
        <v>9</v>
      </c>
      <c r="J303" t="s">
        <v>24</v>
      </c>
      <c r="K303" t="s">
        <v>25</v>
      </c>
      <c r="L303" t="s">
        <v>85</v>
      </c>
      <c r="M303">
        <v>0</v>
      </c>
      <c r="N303">
        <v>8</v>
      </c>
      <c r="O303">
        <v>1</v>
      </c>
      <c r="P303">
        <v>1</v>
      </c>
      <c r="Q303">
        <v>93</v>
      </c>
      <c r="R303">
        <v>1</v>
      </c>
      <c r="CC303" t="s">
        <v>123</v>
      </c>
      <c r="CD303">
        <v>91</v>
      </c>
    </row>
    <row r="304" spans="1:82" x14ac:dyDescent="0.25">
      <c r="A304">
        <v>305</v>
      </c>
      <c r="B304" t="s">
        <v>69</v>
      </c>
      <c r="C304" t="s">
        <v>70</v>
      </c>
      <c r="D304" t="s">
        <v>36</v>
      </c>
      <c r="E304" t="s">
        <v>54</v>
      </c>
      <c r="F304" t="s">
        <v>71</v>
      </c>
      <c r="G304" t="s">
        <v>321</v>
      </c>
      <c r="H304">
        <v>2025</v>
      </c>
      <c r="I304">
        <v>1</v>
      </c>
      <c r="J304" t="s">
        <v>68</v>
      </c>
      <c r="K304" t="s">
        <v>41</v>
      </c>
      <c r="L304" t="s">
        <v>45</v>
      </c>
      <c r="M304">
        <v>1</v>
      </c>
      <c r="N304">
        <v>8</v>
      </c>
      <c r="O304">
        <v>1</v>
      </c>
      <c r="P304">
        <v>0</v>
      </c>
      <c r="Q304">
        <v>73</v>
      </c>
      <c r="R304">
        <v>0</v>
      </c>
      <c r="CC304" t="s">
        <v>70</v>
      </c>
      <c r="CD304">
        <v>74</v>
      </c>
    </row>
    <row r="305" spans="1:82" x14ac:dyDescent="0.25">
      <c r="A305">
        <v>306</v>
      </c>
      <c r="B305" t="s">
        <v>27</v>
      </c>
      <c r="C305" t="s">
        <v>28</v>
      </c>
      <c r="D305" t="s">
        <v>20</v>
      </c>
      <c r="E305" t="s">
        <v>37</v>
      </c>
      <c r="F305" t="s">
        <v>30</v>
      </c>
      <c r="G305" t="s">
        <v>322</v>
      </c>
      <c r="H305">
        <v>2025</v>
      </c>
      <c r="I305">
        <v>11</v>
      </c>
      <c r="J305" t="s">
        <v>74</v>
      </c>
      <c r="K305" t="s">
        <v>52</v>
      </c>
      <c r="L305" t="s">
        <v>53</v>
      </c>
      <c r="M305">
        <v>1</v>
      </c>
      <c r="N305">
        <v>8</v>
      </c>
      <c r="O305">
        <v>1</v>
      </c>
      <c r="P305">
        <v>3</v>
      </c>
      <c r="Q305">
        <v>79</v>
      </c>
      <c r="R305">
        <v>9</v>
      </c>
      <c r="CC305" t="s">
        <v>28</v>
      </c>
      <c r="CD305">
        <v>65</v>
      </c>
    </row>
    <row r="306" spans="1:82" x14ac:dyDescent="0.25">
      <c r="A306">
        <v>307</v>
      </c>
      <c r="B306" t="s">
        <v>42</v>
      </c>
      <c r="C306" t="s">
        <v>43</v>
      </c>
      <c r="D306" t="s">
        <v>36</v>
      </c>
      <c r="E306" t="s">
        <v>29</v>
      </c>
      <c r="F306" t="s">
        <v>22</v>
      </c>
      <c r="G306" t="s">
        <v>145</v>
      </c>
      <c r="H306">
        <v>2025</v>
      </c>
      <c r="I306">
        <v>8</v>
      </c>
      <c r="J306" t="s">
        <v>107</v>
      </c>
      <c r="K306" t="s">
        <v>25</v>
      </c>
      <c r="L306" t="s">
        <v>26</v>
      </c>
      <c r="M306">
        <v>0</v>
      </c>
      <c r="N306">
        <v>8</v>
      </c>
      <c r="O306">
        <v>1</v>
      </c>
      <c r="P306">
        <v>3</v>
      </c>
      <c r="Q306">
        <v>67</v>
      </c>
      <c r="R306">
        <v>10</v>
      </c>
      <c r="CC306" t="s">
        <v>43</v>
      </c>
      <c r="CD306">
        <v>65</v>
      </c>
    </row>
    <row r="307" spans="1:82" x14ac:dyDescent="0.25">
      <c r="A307">
        <v>308</v>
      </c>
      <c r="B307" t="s">
        <v>18</v>
      </c>
      <c r="C307" t="s">
        <v>19</v>
      </c>
      <c r="D307" t="s">
        <v>20</v>
      </c>
      <c r="E307" t="s">
        <v>49</v>
      </c>
      <c r="F307" t="s">
        <v>22</v>
      </c>
      <c r="G307" t="s">
        <v>323</v>
      </c>
      <c r="H307">
        <v>2024</v>
      </c>
      <c r="I307">
        <v>10</v>
      </c>
      <c r="J307" t="s">
        <v>105</v>
      </c>
      <c r="K307" t="s">
        <v>52</v>
      </c>
      <c r="L307" t="s">
        <v>33</v>
      </c>
      <c r="M307">
        <v>0</v>
      </c>
      <c r="N307">
        <v>8</v>
      </c>
      <c r="O307">
        <v>0</v>
      </c>
      <c r="P307">
        <v>0</v>
      </c>
      <c r="Q307">
        <v>0</v>
      </c>
      <c r="R307">
        <v>0</v>
      </c>
      <c r="CC307" t="s">
        <v>19</v>
      </c>
      <c r="CD307">
        <v>63</v>
      </c>
    </row>
    <row r="308" spans="1:82" x14ac:dyDescent="0.25">
      <c r="A308">
        <v>309</v>
      </c>
      <c r="B308" t="s">
        <v>65</v>
      </c>
      <c r="C308" t="s">
        <v>66</v>
      </c>
      <c r="D308" t="s">
        <v>36</v>
      </c>
      <c r="E308" t="s">
        <v>49</v>
      </c>
      <c r="F308" t="s">
        <v>38</v>
      </c>
      <c r="G308" t="s">
        <v>324</v>
      </c>
      <c r="H308">
        <v>2024</v>
      </c>
      <c r="I308">
        <v>3</v>
      </c>
      <c r="J308" t="s">
        <v>40</v>
      </c>
      <c r="K308" t="s">
        <v>41</v>
      </c>
      <c r="L308" t="s">
        <v>53</v>
      </c>
      <c r="M308">
        <v>1</v>
      </c>
      <c r="N308">
        <v>8</v>
      </c>
      <c r="O308">
        <v>0</v>
      </c>
      <c r="P308">
        <v>0</v>
      </c>
      <c r="Q308">
        <v>0</v>
      </c>
      <c r="R308">
        <v>0</v>
      </c>
      <c r="CC308" t="s">
        <v>66</v>
      </c>
      <c r="CD308">
        <v>87</v>
      </c>
    </row>
    <row r="309" spans="1:82" x14ac:dyDescent="0.25">
      <c r="A309">
        <v>310</v>
      </c>
      <c r="B309" t="s">
        <v>42</v>
      </c>
      <c r="C309" t="s">
        <v>43</v>
      </c>
      <c r="D309" t="s">
        <v>36</v>
      </c>
      <c r="E309" t="s">
        <v>21</v>
      </c>
      <c r="F309" t="s">
        <v>22</v>
      </c>
      <c r="G309" t="s">
        <v>325</v>
      </c>
      <c r="H309">
        <v>2025</v>
      </c>
      <c r="I309">
        <v>12</v>
      </c>
      <c r="J309" t="s">
        <v>51</v>
      </c>
      <c r="K309" t="s">
        <v>52</v>
      </c>
      <c r="L309" t="s">
        <v>53</v>
      </c>
      <c r="M309">
        <v>1</v>
      </c>
      <c r="N309">
        <v>8</v>
      </c>
      <c r="O309">
        <v>1</v>
      </c>
      <c r="P309">
        <v>2</v>
      </c>
      <c r="Q309">
        <v>64</v>
      </c>
      <c r="R309">
        <v>9</v>
      </c>
      <c r="CC309" t="s">
        <v>43</v>
      </c>
      <c r="CD309">
        <v>79</v>
      </c>
    </row>
    <row r="310" spans="1:82" x14ac:dyDescent="0.25">
      <c r="A310">
        <v>311</v>
      </c>
      <c r="B310" t="s">
        <v>79</v>
      </c>
      <c r="C310" t="s">
        <v>80</v>
      </c>
      <c r="D310" t="s">
        <v>20</v>
      </c>
      <c r="E310" t="s">
        <v>21</v>
      </c>
      <c r="F310" t="s">
        <v>81</v>
      </c>
      <c r="G310" t="s">
        <v>326</v>
      </c>
      <c r="H310">
        <v>2024</v>
      </c>
      <c r="I310">
        <v>11</v>
      </c>
      <c r="J310" t="s">
        <v>74</v>
      </c>
      <c r="K310" t="s">
        <v>52</v>
      </c>
      <c r="L310" t="s">
        <v>77</v>
      </c>
      <c r="M310">
        <v>0</v>
      </c>
      <c r="N310">
        <v>8</v>
      </c>
      <c r="O310">
        <v>0</v>
      </c>
      <c r="P310">
        <v>0</v>
      </c>
      <c r="Q310">
        <v>0</v>
      </c>
      <c r="R310">
        <v>0</v>
      </c>
      <c r="CC310" t="s">
        <v>80</v>
      </c>
      <c r="CD310">
        <v>84</v>
      </c>
    </row>
    <row r="311" spans="1:82" x14ac:dyDescent="0.25">
      <c r="A311">
        <v>312</v>
      </c>
      <c r="B311" t="s">
        <v>42</v>
      </c>
      <c r="C311" t="s">
        <v>43</v>
      </c>
      <c r="D311" t="s">
        <v>36</v>
      </c>
      <c r="E311" t="s">
        <v>29</v>
      </c>
      <c r="F311" t="s">
        <v>22</v>
      </c>
      <c r="G311" t="s">
        <v>327</v>
      </c>
      <c r="H311">
        <v>2025</v>
      </c>
      <c r="I311">
        <v>2</v>
      </c>
      <c r="J311" t="s">
        <v>84</v>
      </c>
      <c r="K311" t="s">
        <v>41</v>
      </c>
      <c r="L311" t="s">
        <v>53</v>
      </c>
      <c r="M311">
        <v>1</v>
      </c>
      <c r="N311">
        <v>8</v>
      </c>
      <c r="O311">
        <v>1</v>
      </c>
      <c r="P311">
        <v>2</v>
      </c>
      <c r="Q311">
        <v>71</v>
      </c>
      <c r="R311">
        <v>9</v>
      </c>
      <c r="CC311" t="s">
        <v>43</v>
      </c>
      <c r="CD311">
        <v>74</v>
      </c>
    </row>
    <row r="312" spans="1:82" x14ac:dyDescent="0.25">
      <c r="A312">
        <v>313</v>
      </c>
      <c r="B312" t="s">
        <v>122</v>
      </c>
      <c r="C312" t="s">
        <v>123</v>
      </c>
      <c r="D312" t="s">
        <v>20</v>
      </c>
      <c r="E312" t="s">
        <v>29</v>
      </c>
      <c r="F312" t="s">
        <v>71</v>
      </c>
      <c r="G312" t="s">
        <v>328</v>
      </c>
      <c r="H312">
        <v>2025</v>
      </c>
      <c r="I312">
        <v>12</v>
      </c>
      <c r="J312" t="s">
        <v>51</v>
      </c>
      <c r="K312" t="s">
        <v>52</v>
      </c>
      <c r="L312" t="s">
        <v>45</v>
      </c>
      <c r="M312">
        <v>1</v>
      </c>
      <c r="N312">
        <v>8</v>
      </c>
      <c r="O312">
        <v>1</v>
      </c>
      <c r="P312">
        <v>3</v>
      </c>
      <c r="Q312">
        <v>82</v>
      </c>
      <c r="R312">
        <v>5</v>
      </c>
      <c r="CC312" t="s">
        <v>123</v>
      </c>
      <c r="CD312">
        <v>82</v>
      </c>
    </row>
    <row r="313" spans="1:82" x14ac:dyDescent="0.25">
      <c r="A313">
        <v>314</v>
      </c>
      <c r="B313" t="s">
        <v>27</v>
      </c>
      <c r="C313" t="s">
        <v>28</v>
      </c>
      <c r="D313" t="s">
        <v>20</v>
      </c>
      <c r="E313" t="s">
        <v>29</v>
      </c>
      <c r="F313" t="s">
        <v>30</v>
      </c>
      <c r="G313" t="s">
        <v>210</v>
      </c>
      <c r="H313">
        <v>2025</v>
      </c>
      <c r="I313">
        <v>4</v>
      </c>
      <c r="J313" t="s">
        <v>89</v>
      </c>
      <c r="K313" t="s">
        <v>48</v>
      </c>
      <c r="L313" t="s">
        <v>53</v>
      </c>
      <c r="M313">
        <v>1</v>
      </c>
      <c r="N313">
        <v>8</v>
      </c>
      <c r="O313">
        <v>0</v>
      </c>
      <c r="P313">
        <v>0</v>
      </c>
      <c r="Q313">
        <v>0</v>
      </c>
      <c r="R313">
        <v>0</v>
      </c>
      <c r="CC313" t="s">
        <v>28</v>
      </c>
      <c r="CD313">
        <v>91</v>
      </c>
    </row>
    <row r="314" spans="1:82" x14ac:dyDescent="0.25">
      <c r="A314">
        <v>315</v>
      </c>
      <c r="B314" t="s">
        <v>34</v>
      </c>
      <c r="C314" t="s">
        <v>35</v>
      </c>
      <c r="D314" t="s">
        <v>36</v>
      </c>
      <c r="E314" t="s">
        <v>54</v>
      </c>
      <c r="F314" t="s">
        <v>38</v>
      </c>
      <c r="G314" t="s">
        <v>329</v>
      </c>
      <c r="H314">
        <v>2025</v>
      </c>
      <c r="I314">
        <v>7</v>
      </c>
      <c r="J314" t="s">
        <v>32</v>
      </c>
      <c r="K314" t="s">
        <v>25</v>
      </c>
      <c r="L314" t="s">
        <v>85</v>
      </c>
      <c r="M314">
        <v>0</v>
      </c>
      <c r="N314">
        <v>8</v>
      </c>
      <c r="O314">
        <v>0</v>
      </c>
      <c r="P314">
        <v>0</v>
      </c>
      <c r="Q314">
        <v>0</v>
      </c>
      <c r="R314">
        <v>0</v>
      </c>
      <c r="CC314" t="s">
        <v>35</v>
      </c>
      <c r="CD314">
        <v>60</v>
      </c>
    </row>
    <row r="315" spans="1:82" x14ac:dyDescent="0.25">
      <c r="A315">
        <v>316</v>
      </c>
      <c r="B315" t="s">
        <v>65</v>
      </c>
      <c r="C315" t="s">
        <v>66</v>
      </c>
      <c r="D315" t="s">
        <v>36</v>
      </c>
      <c r="E315" t="s">
        <v>29</v>
      </c>
      <c r="F315" t="s">
        <v>38</v>
      </c>
      <c r="G315" t="s">
        <v>271</v>
      </c>
      <c r="H315">
        <v>2025</v>
      </c>
      <c r="I315">
        <v>12</v>
      </c>
      <c r="J315" t="s">
        <v>51</v>
      </c>
      <c r="K315" t="s">
        <v>52</v>
      </c>
      <c r="L315" t="s">
        <v>33</v>
      </c>
      <c r="M315">
        <v>0</v>
      </c>
      <c r="N315">
        <v>8</v>
      </c>
      <c r="O315">
        <v>0</v>
      </c>
      <c r="P315">
        <v>0</v>
      </c>
      <c r="Q315">
        <v>0</v>
      </c>
      <c r="R315">
        <v>0</v>
      </c>
      <c r="CC315" t="s">
        <v>66</v>
      </c>
      <c r="CD315">
        <v>91</v>
      </c>
    </row>
    <row r="316" spans="1:82" x14ac:dyDescent="0.25">
      <c r="A316">
        <v>317</v>
      </c>
      <c r="B316" t="s">
        <v>79</v>
      </c>
      <c r="C316" t="s">
        <v>80</v>
      </c>
      <c r="D316" t="s">
        <v>20</v>
      </c>
      <c r="E316" t="s">
        <v>54</v>
      </c>
      <c r="F316" t="s">
        <v>81</v>
      </c>
      <c r="G316" t="s">
        <v>320</v>
      </c>
      <c r="H316">
        <v>2025</v>
      </c>
      <c r="I316">
        <v>2</v>
      </c>
      <c r="J316" t="s">
        <v>84</v>
      </c>
      <c r="K316" t="s">
        <v>41</v>
      </c>
      <c r="L316" t="s">
        <v>61</v>
      </c>
      <c r="M316">
        <v>0</v>
      </c>
      <c r="N316">
        <v>8</v>
      </c>
      <c r="O316">
        <v>0</v>
      </c>
      <c r="P316">
        <v>0</v>
      </c>
      <c r="Q316">
        <v>0</v>
      </c>
      <c r="R316">
        <v>0</v>
      </c>
      <c r="CC316" t="s">
        <v>80</v>
      </c>
      <c r="CD316">
        <v>87</v>
      </c>
    </row>
    <row r="317" spans="1:82" x14ac:dyDescent="0.25">
      <c r="A317">
        <v>318</v>
      </c>
      <c r="B317" t="s">
        <v>42</v>
      </c>
      <c r="C317" t="s">
        <v>43</v>
      </c>
      <c r="D317" t="s">
        <v>36</v>
      </c>
      <c r="E317" t="s">
        <v>49</v>
      </c>
      <c r="F317" t="s">
        <v>22</v>
      </c>
      <c r="G317" t="s">
        <v>330</v>
      </c>
      <c r="H317">
        <v>2024</v>
      </c>
      <c r="I317">
        <v>11</v>
      </c>
      <c r="J317" t="s">
        <v>74</v>
      </c>
      <c r="K317" t="s">
        <v>52</v>
      </c>
      <c r="L317" t="s">
        <v>45</v>
      </c>
      <c r="M317">
        <v>1</v>
      </c>
      <c r="N317">
        <v>8</v>
      </c>
      <c r="O317">
        <v>0</v>
      </c>
      <c r="P317">
        <v>0</v>
      </c>
      <c r="Q317">
        <v>0</v>
      </c>
      <c r="R317">
        <v>0</v>
      </c>
      <c r="CC317" t="s">
        <v>43</v>
      </c>
      <c r="CD317">
        <v>81</v>
      </c>
    </row>
    <row r="318" spans="1:82" x14ac:dyDescent="0.25">
      <c r="A318">
        <v>319</v>
      </c>
      <c r="B318" t="s">
        <v>69</v>
      </c>
      <c r="C318" t="s">
        <v>70</v>
      </c>
      <c r="D318" t="s">
        <v>36</v>
      </c>
      <c r="E318" t="s">
        <v>54</v>
      </c>
      <c r="F318" t="s">
        <v>71</v>
      </c>
      <c r="G318" t="s">
        <v>331</v>
      </c>
      <c r="H318">
        <v>2024</v>
      </c>
      <c r="I318">
        <v>11</v>
      </c>
      <c r="J318" t="s">
        <v>74</v>
      </c>
      <c r="K318" t="s">
        <v>52</v>
      </c>
      <c r="L318" t="s">
        <v>85</v>
      </c>
      <c r="M318">
        <v>0</v>
      </c>
      <c r="N318">
        <v>8</v>
      </c>
      <c r="O318">
        <v>0</v>
      </c>
      <c r="P318">
        <v>0</v>
      </c>
      <c r="Q318">
        <v>0</v>
      </c>
      <c r="R318">
        <v>0</v>
      </c>
      <c r="CC318" t="s">
        <v>70</v>
      </c>
      <c r="CD318">
        <v>67</v>
      </c>
    </row>
    <row r="319" spans="1:82" x14ac:dyDescent="0.25">
      <c r="A319">
        <v>320</v>
      </c>
      <c r="B319" t="s">
        <v>62</v>
      </c>
      <c r="C319" t="s">
        <v>63</v>
      </c>
      <c r="D319" t="s">
        <v>20</v>
      </c>
      <c r="E319" t="s">
        <v>54</v>
      </c>
      <c r="F319" t="s">
        <v>38</v>
      </c>
      <c r="G319" t="s">
        <v>332</v>
      </c>
      <c r="H319">
        <v>2025</v>
      </c>
      <c r="I319">
        <v>1</v>
      </c>
      <c r="J319" t="s">
        <v>68</v>
      </c>
      <c r="K319" t="s">
        <v>41</v>
      </c>
      <c r="L319" t="s">
        <v>45</v>
      </c>
      <c r="M319">
        <v>1</v>
      </c>
      <c r="N319">
        <v>8</v>
      </c>
      <c r="O319">
        <v>0</v>
      </c>
      <c r="P319">
        <v>0</v>
      </c>
      <c r="Q319">
        <v>0</v>
      </c>
      <c r="R319">
        <v>0</v>
      </c>
      <c r="CC319" t="s">
        <v>63</v>
      </c>
      <c r="CD319">
        <v>93</v>
      </c>
    </row>
    <row r="320" spans="1:82" x14ac:dyDescent="0.25">
      <c r="A320">
        <v>321</v>
      </c>
      <c r="B320" t="s">
        <v>27</v>
      </c>
      <c r="C320" t="s">
        <v>28</v>
      </c>
      <c r="D320" t="s">
        <v>20</v>
      </c>
      <c r="E320" t="s">
        <v>49</v>
      </c>
      <c r="F320" t="s">
        <v>30</v>
      </c>
      <c r="G320" t="s">
        <v>333</v>
      </c>
      <c r="H320">
        <v>2025</v>
      </c>
      <c r="I320">
        <v>6</v>
      </c>
      <c r="J320" t="s">
        <v>76</v>
      </c>
      <c r="K320" t="s">
        <v>48</v>
      </c>
      <c r="L320" t="s">
        <v>85</v>
      </c>
      <c r="M320">
        <v>0</v>
      </c>
      <c r="N320">
        <v>8</v>
      </c>
      <c r="O320">
        <v>1</v>
      </c>
      <c r="P320">
        <v>0</v>
      </c>
      <c r="Q320">
        <v>62</v>
      </c>
      <c r="R320">
        <v>4</v>
      </c>
      <c r="CC320" t="s">
        <v>28</v>
      </c>
      <c r="CD320">
        <v>74</v>
      </c>
    </row>
    <row r="321" spans="1:82" x14ac:dyDescent="0.25">
      <c r="A321">
        <v>322</v>
      </c>
      <c r="B321" t="s">
        <v>69</v>
      </c>
      <c r="C321" t="s">
        <v>70</v>
      </c>
      <c r="D321" t="s">
        <v>36</v>
      </c>
      <c r="E321" t="s">
        <v>37</v>
      </c>
      <c r="F321" t="s">
        <v>71</v>
      </c>
      <c r="G321" t="s">
        <v>103</v>
      </c>
      <c r="H321">
        <v>2024</v>
      </c>
      <c r="I321">
        <v>7</v>
      </c>
      <c r="J321" t="s">
        <v>32</v>
      </c>
      <c r="K321" t="s">
        <v>25</v>
      </c>
      <c r="L321" t="s">
        <v>45</v>
      </c>
      <c r="M321">
        <v>1</v>
      </c>
      <c r="N321">
        <v>8</v>
      </c>
      <c r="O321">
        <v>0</v>
      </c>
      <c r="P321">
        <v>0</v>
      </c>
      <c r="Q321">
        <v>0</v>
      </c>
      <c r="R321">
        <v>0</v>
      </c>
      <c r="CC321" t="s">
        <v>70</v>
      </c>
      <c r="CD321">
        <v>75</v>
      </c>
    </row>
    <row r="322" spans="1:82" x14ac:dyDescent="0.25">
      <c r="A322">
        <v>323</v>
      </c>
      <c r="B322" t="s">
        <v>65</v>
      </c>
      <c r="C322" t="s">
        <v>66</v>
      </c>
      <c r="D322" t="s">
        <v>36</v>
      </c>
      <c r="E322" t="s">
        <v>37</v>
      </c>
      <c r="F322" t="s">
        <v>38</v>
      </c>
      <c r="G322" t="s">
        <v>334</v>
      </c>
      <c r="H322">
        <v>2025</v>
      </c>
      <c r="I322">
        <v>7</v>
      </c>
      <c r="J322" t="s">
        <v>32</v>
      </c>
      <c r="K322" t="s">
        <v>25</v>
      </c>
      <c r="L322" t="s">
        <v>85</v>
      </c>
      <c r="M322">
        <v>0</v>
      </c>
      <c r="N322">
        <v>8</v>
      </c>
      <c r="O322">
        <v>1</v>
      </c>
      <c r="P322">
        <v>0</v>
      </c>
      <c r="Q322">
        <v>86</v>
      </c>
      <c r="R322">
        <v>9</v>
      </c>
      <c r="CC322" t="s">
        <v>66</v>
      </c>
      <c r="CD322">
        <v>72</v>
      </c>
    </row>
    <row r="323" spans="1:82" x14ac:dyDescent="0.25">
      <c r="A323">
        <v>324</v>
      </c>
      <c r="B323" t="s">
        <v>62</v>
      </c>
      <c r="C323" t="s">
        <v>63</v>
      </c>
      <c r="D323" t="s">
        <v>20</v>
      </c>
      <c r="E323" t="s">
        <v>37</v>
      </c>
      <c r="F323" t="s">
        <v>38</v>
      </c>
      <c r="G323" t="s">
        <v>335</v>
      </c>
      <c r="H323">
        <v>2025</v>
      </c>
      <c r="I323">
        <v>8</v>
      </c>
      <c r="J323" t="s">
        <v>107</v>
      </c>
      <c r="K323" t="s">
        <v>25</v>
      </c>
      <c r="L323" t="s">
        <v>77</v>
      </c>
      <c r="M323">
        <v>0</v>
      </c>
      <c r="N323">
        <v>8</v>
      </c>
      <c r="O323">
        <v>0</v>
      </c>
      <c r="P323">
        <v>0</v>
      </c>
      <c r="Q323">
        <v>0</v>
      </c>
      <c r="R323">
        <v>0</v>
      </c>
      <c r="CC323" t="s">
        <v>63</v>
      </c>
      <c r="CD323">
        <v>87</v>
      </c>
    </row>
    <row r="324" spans="1:82" x14ac:dyDescent="0.25">
      <c r="A324">
        <v>325</v>
      </c>
      <c r="B324" t="s">
        <v>79</v>
      </c>
      <c r="C324" t="s">
        <v>80</v>
      </c>
      <c r="D324" t="s">
        <v>20</v>
      </c>
      <c r="E324" t="s">
        <v>21</v>
      </c>
      <c r="F324" t="s">
        <v>81</v>
      </c>
      <c r="G324" t="s">
        <v>336</v>
      </c>
      <c r="H324">
        <v>2025</v>
      </c>
      <c r="I324">
        <v>10</v>
      </c>
      <c r="J324" t="s">
        <v>105</v>
      </c>
      <c r="K324" t="s">
        <v>52</v>
      </c>
      <c r="L324" t="s">
        <v>26</v>
      </c>
      <c r="M324">
        <v>0</v>
      </c>
      <c r="N324">
        <v>8</v>
      </c>
      <c r="O324">
        <v>0</v>
      </c>
      <c r="P324">
        <v>0</v>
      </c>
      <c r="Q324">
        <v>0</v>
      </c>
      <c r="R324">
        <v>0</v>
      </c>
      <c r="CC324" t="s">
        <v>80</v>
      </c>
      <c r="CD324">
        <v>77</v>
      </c>
    </row>
    <row r="325" spans="1:82" x14ac:dyDescent="0.25">
      <c r="A325">
        <v>326</v>
      </c>
      <c r="B325" t="s">
        <v>62</v>
      </c>
      <c r="C325" t="s">
        <v>63</v>
      </c>
      <c r="D325" t="s">
        <v>20</v>
      </c>
      <c r="E325" t="s">
        <v>37</v>
      </c>
      <c r="F325" t="s">
        <v>38</v>
      </c>
      <c r="G325" t="s">
        <v>337</v>
      </c>
      <c r="H325">
        <v>2025</v>
      </c>
      <c r="I325">
        <v>10</v>
      </c>
      <c r="J325" t="s">
        <v>105</v>
      </c>
      <c r="K325" t="s">
        <v>52</v>
      </c>
      <c r="L325" t="s">
        <v>85</v>
      </c>
      <c r="M325">
        <v>0</v>
      </c>
      <c r="N325">
        <v>8</v>
      </c>
      <c r="O325">
        <v>0</v>
      </c>
      <c r="P325">
        <v>0</v>
      </c>
      <c r="Q325">
        <v>0</v>
      </c>
      <c r="R325">
        <v>0</v>
      </c>
      <c r="CC325" t="s">
        <v>63</v>
      </c>
      <c r="CD325">
        <v>88</v>
      </c>
    </row>
    <row r="326" spans="1:82" x14ac:dyDescent="0.25">
      <c r="A326">
        <v>327</v>
      </c>
      <c r="B326" t="s">
        <v>42</v>
      </c>
      <c r="C326" t="s">
        <v>43</v>
      </c>
      <c r="D326" t="s">
        <v>36</v>
      </c>
      <c r="E326" t="s">
        <v>49</v>
      </c>
      <c r="F326" t="s">
        <v>22</v>
      </c>
      <c r="G326" t="s">
        <v>56</v>
      </c>
      <c r="H326">
        <v>2024</v>
      </c>
      <c r="I326">
        <v>5</v>
      </c>
      <c r="J326" t="s">
        <v>47</v>
      </c>
      <c r="K326" t="s">
        <v>48</v>
      </c>
      <c r="L326" t="s">
        <v>33</v>
      </c>
      <c r="M326">
        <v>0</v>
      </c>
      <c r="N326">
        <v>8</v>
      </c>
      <c r="O326">
        <v>1</v>
      </c>
      <c r="P326">
        <v>1</v>
      </c>
      <c r="Q326">
        <v>81</v>
      </c>
      <c r="R326">
        <v>1</v>
      </c>
      <c r="CC326" t="s">
        <v>43</v>
      </c>
      <c r="CD326">
        <v>70</v>
      </c>
    </row>
    <row r="327" spans="1:82" x14ac:dyDescent="0.25">
      <c r="A327">
        <v>328</v>
      </c>
      <c r="B327" t="s">
        <v>62</v>
      </c>
      <c r="C327" t="s">
        <v>63</v>
      </c>
      <c r="D327" t="s">
        <v>20</v>
      </c>
      <c r="E327" t="s">
        <v>54</v>
      </c>
      <c r="F327" t="s">
        <v>38</v>
      </c>
      <c r="G327" t="s">
        <v>293</v>
      </c>
      <c r="H327">
        <v>2024</v>
      </c>
      <c r="I327">
        <v>5</v>
      </c>
      <c r="J327" t="s">
        <v>47</v>
      </c>
      <c r="K327" t="s">
        <v>48</v>
      </c>
      <c r="L327" t="s">
        <v>53</v>
      </c>
      <c r="M327">
        <v>1</v>
      </c>
      <c r="N327">
        <v>8</v>
      </c>
      <c r="O327">
        <v>0</v>
      </c>
      <c r="P327">
        <v>0</v>
      </c>
      <c r="Q327">
        <v>0</v>
      </c>
      <c r="R327">
        <v>0</v>
      </c>
      <c r="CC327" t="s">
        <v>63</v>
      </c>
      <c r="CD327">
        <v>83</v>
      </c>
    </row>
    <row r="328" spans="1:82" x14ac:dyDescent="0.25">
      <c r="A328">
        <v>329</v>
      </c>
      <c r="B328" t="s">
        <v>65</v>
      </c>
      <c r="C328" t="s">
        <v>66</v>
      </c>
      <c r="D328" t="s">
        <v>36</v>
      </c>
      <c r="E328" t="s">
        <v>49</v>
      </c>
      <c r="F328" t="s">
        <v>38</v>
      </c>
      <c r="G328" t="s">
        <v>338</v>
      </c>
      <c r="H328">
        <v>2024</v>
      </c>
      <c r="I328">
        <v>6</v>
      </c>
      <c r="J328" t="s">
        <v>76</v>
      </c>
      <c r="K328" t="s">
        <v>48</v>
      </c>
      <c r="L328" t="s">
        <v>45</v>
      </c>
      <c r="M328">
        <v>1</v>
      </c>
      <c r="N328">
        <v>8</v>
      </c>
      <c r="O328">
        <v>0</v>
      </c>
      <c r="P328">
        <v>0</v>
      </c>
      <c r="Q328">
        <v>0</v>
      </c>
      <c r="R328">
        <v>0</v>
      </c>
      <c r="CC328" t="s">
        <v>66</v>
      </c>
      <c r="CD328">
        <v>60</v>
      </c>
    </row>
    <row r="329" spans="1:82" x14ac:dyDescent="0.25">
      <c r="A329">
        <v>330</v>
      </c>
      <c r="B329" t="s">
        <v>42</v>
      </c>
      <c r="C329" t="s">
        <v>43</v>
      </c>
      <c r="D329" t="s">
        <v>36</v>
      </c>
      <c r="E329" t="s">
        <v>29</v>
      </c>
      <c r="F329" t="s">
        <v>22</v>
      </c>
      <c r="G329" t="s">
        <v>339</v>
      </c>
      <c r="H329">
        <v>2024</v>
      </c>
      <c r="I329">
        <v>2</v>
      </c>
      <c r="J329" t="s">
        <v>84</v>
      </c>
      <c r="K329" t="s">
        <v>41</v>
      </c>
      <c r="L329" t="s">
        <v>77</v>
      </c>
      <c r="M329">
        <v>0</v>
      </c>
      <c r="N329">
        <v>8</v>
      </c>
      <c r="O329">
        <v>1</v>
      </c>
      <c r="P329">
        <v>1</v>
      </c>
      <c r="Q329">
        <v>60</v>
      </c>
      <c r="R329">
        <v>8</v>
      </c>
      <c r="CC329" t="s">
        <v>43</v>
      </c>
      <c r="CD329">
        <v>64</v>
      </c>
    </row>
    <row r="330" spans="1:82" x14ac:dyDescent="0.25">
      <c r="A330">
        <v>331</v>
      </c>
      <c r="B330" t="s">
        <v>122</v>
      </c>
      <c r="C330" t="s">
        <v>123</v>
      </c>
      <c r="D330" t="s">
        <v>20</v>
      </c>
      <c r="E330" t="s">
        <v>37</v>
      </c>
      <c r="F330" t="s">
        <v>71</v>
      </c>
      <c r="G330" t="s">
        <v>245</v>
      </c>
      <c r="H330">
        <v>2024</v>
      </c>
      <c r="I330">
        <v>10</v>
      </c>
      <c r="J330" t="s">
        <v>105</v>
      </c>
      <c r="K330" t="s">
        <v>52</v>
      </c>
      <c r="L330" t="s">
        <v>85</v>
      </c>
      <c r="M330">
        <v>0</v>
      </c>
      <c r="N330">
        <v>8</v>
      </c>
      <c r="O330">
        <v>0</v>
      </c>
      <c r="P330">
        <v>0</v>
      </c>
      <c r="Q330">
        <v>0</v>
      </c>
      <c r="R330">
        <v>0</v>
      </c>
      <c r="CC330" t="s">
        <v>123</v>
      </c>
      <c r="CD330">
        <v>91</v>
      </c>
    </row>
    <row r="331" spans="1:82" x14ac:dyDescent="0.25">
      <c r="A331">
        <v>332</v>
      </c>
      <c r="B331" t="s">
        <v>34</v>
      </c>
      <c r="C331" t="s">
        <v>35</v>
      </c>
      <c r="D331" t="s">
        <v>36</v>
      </c>
      <c r="E331" t="s">
        <v>54</v>
      </c>
      <c r="F331" t="s">
        <v>38</v>
      </c>
      <c r="G331" t="s">
        <v>56</v>
      </c>
      <c r="H331">
        <v>2024</v>
      </c>
      <c r="I331">
        <v>5</v>
      </c>
      <c r="J331" t="s">
        <v>47</v>
      </c>
      <c r="K331" t="s">
        <v>48</v>
      </c>
      <c r="L331" t="s">
        <v>33</v>
      </c>
      <c r="M331">
        <v>0</v>
      </c>
      <c r="N331">
        <v>8</v>
      </c>
      <c r="O331">
        <v>1</v>
      </c>
      <c r="P331">
        <v>3</v>
      </c>
      <c r="Q331">
        <v>81</v>
      </c>
      <c r="R331">
        <v>5</v>
      </c>
      <c r="CC331" t="s">
        <v>35</v>
      </c>
      <c r="CD331">
        <v>68</v>
      </c>
    </row>
    <row r="332" spans="1:82" x14ac:dyDescent="0.25">
      <c r="A332">
        <v>333</v>
      </c>
      <c r="B332" t="s">
        <v>18</v>
      </c>
      <c r="C332" t="s">
        <v>19</v>
      </c>
      <c r="D332" t="s">
        <v>20</v>
      </c>
      <c r="E332" t="s">
        <v>37</v>
      </c>
      <c r="F332" t="s">
        <v>22</v>
      </c>
      <c r="G332" t="s">
        <v>199</v>
      </c>
      <c r="H332">
        <v>2025</v>
      </c>
      <c r="I332">
        <v>4</v>
      </c>
      <c r="J332" t="s">
        <v>89</v>
      </c>
      <c r="K332" t="s">
        <v>48</v>
      </c>
      <c r="L332" t="s">
        <v>61</v>
      </c>
      <c r="M332">
        <v>0</v>
      </c>
      <c r="N332">
        <v>8</v>
      </c>
      <c r="O332">
        <v>1</v>
      </c>
      <c r="P332">
        <v>1</v>
      </c>
      <c r="Q332">
        <v>80</v>
      </c>
      <c r="R332">
        <v>2</v>
      </c>
      <c r="CC332" t="s">
        <v>19</v>
      </c>
      <c r="CD332">
        <v>83</v>
      </c>
    </row>
    <row r="333" spans="1:82" x14ac:dyDescent="0.25">
      <c r="A333">
        <v>334</v>
      </c>
      <c r="B333" t="s">
        <v>27</v>
      </c>
      <c r="C333" t="s">
        <v>28</v>
      </c>
      <c r="D333" t="s">
        <v>20</v>
      </c>
      <c r="E333" t="s">
        <v>54</v>
      </c>
      <c r="F333" t="s">
        <v>30</v>
      </c>
      <c r="G333" t="s">
        <v>306</v>
      </c>
      <c r="H333">
        <v>2024</v>
      </c>
      <c r="I333">
        <v>7</v>
      </c>
      <c r="J333" t="s">
        <v>32</v>
      </c>
      <c r="K333" t="s">
        <v>25</v>
      </c>
      <c r="L333" t="s">
        <v>85</v>
      </c>
      <c r="M333">
        <v>0</v>
      </c>
      <c r="N333">
        <v>8</v>
      </c>
      <c r="O333">
        <v>0</v>
      </c>
      <c r="P333">
        <v>0</v>
      </c>
      <c r="Q333">
        <v>0</v>
      </c>
      <c r="R333">
        <v>0</v>
      </c>
      <c r="CC333" t="s">
        <v>28</v>
      </c>
      <c r="CD333">
        <v>90</v>
      </c>
    </row>
    <row r="334" spans="1:82" x14ac:dyDescent="0.25">
      <c r="A334">
        <v>335</v>
      </c>
      <c r="B334" t="s">
        <v>122</v>
      </c>
      <c r="C334" t="s">
        <v>123</v>
      </c>
      <c r="D334" t="s">
        <v>20</v>
      </c>
      <c r="E334" t="s">
        <v>29</v>
      </c>
      <c r="F334" t="s">
        <v>71</v>
      </c>
      <c r="G334" t="s">
        <v>229</v>
      </c>
      <c r="H334">
        <v>2024</v>
      </c>
      <c r="I334">
        <v>12</v>
      </c>
      <c r="J334" t="s">
        <v>51</v>
      </c>
      <c r="K334" t="s">
        <v>52</v>
      </c>
      <c r="L334" t="s">
        <v>33</v>
      </c>
      <c r="M334">
        <v>0</v>
      </c>
      <c r="N334">
        <v>8</v>
      </c>
      <c r="O334">
        <v>1</v>
      </c>
      <c r="P334">
        <v>1</v>
      </c>
      <c r="Q334">
        <v>78</v>
      </c>
      <c r="R334">
        <v>2</v>
      </c>
      <c r="CC334" t="s">
        <v>123</v>
      </c>
      <c r="CD334">
        <v>75</v>
      </c>
    </row>
    <row r="335" spans="1:82" x14ac:dyDescent="0.25">
      <c r="A335">
        <v>336</v>
      </c>
      <c r="B335" t="s">
        <v>18</v>
      </c>
      <c r="C335" t="s">
        <v>19</v>
      </c>
      <c r="D335" t="s">
        <v>20</v>
      </c>
      <c r="E335" t="s">
        <v>37</v>
      </c>
      <c r="F335" t="s">
        <v>22</v>
      </c>
      <c r="G335" t="s">
        <v>340</v>
      </c>
      <c r="H335">
        <v>2025</v>
      </c>
      <c r="I335">
        <v>10</v>
      </c>
      <c r="J335" t="s">
        <v>105</v>
      </c>
      <c r="K335" t="s">
        <v>52</v>
      </c>
      <c r="L335" t="s">
        <v>26</v>
      </c>
      <c r="M335">
        <v>0</v>
      </c>
      <c r="N335">
        <v>8</v>
      </c>
      <c r="O335">
        <v>1</v>
      </c>
      <c r="P335">
        <v>3</v>
      </c>
      <c r="Q335">
        <v>67</v>
      </c>
      <c r="R335">
        <v>7</v>
      </c>
      <c r="CC335" t="s">
        <v>19</v>
      </c>
      <c r="CD335">
        <v>83</v>
      </c>
    </row>
    <row r="336" spans="1:82" x14ac:dyDescent="0.25">
      <c r="A336">
        <v>337</v>
      </c>
      <c r="B336" t="s">
        <v>27</v>
      </c>
      <c r="C336" t="s">
        <v>28</v>
      </c>
      <c r="D336" t="s">
        <v>20</v>
      </c>
      <c r="E336" t="s">
        <v>21</v>
      </c>
      <c r="F336" t="s">
        <v>30</v>
      </c>
      <c r="G336" t="s">
        <v>341</v>
      </c>
      <c r="H336">
        <v>2024</v>
      </c>
      <c r="I336">
        <v>6</v>
      </c>
      <c r="J336" t="s">
        <v>76</v>
      </c>
      <c r="K336" t="s">
        <v>48</v>
      </c>
      <c r="L336" t="s">
        <v>45</v>
      </c>
      <c r="M336">
        <v>1</v>
      </c>
      <c r="N336">
        <v>8</v>
      </c>
      <c r="O336">
        <v>1</v>
      </c>
      <c r="P336">
        <v>0</v>
      </c>
      <c r="Q336">
        <v>76</v>
      </c>
      <c r="R336">
        <v>8</v>
      </c>
      <c r="CC336" t="s">
        <v>28</v>
      </c>
      <c r="CD336">
        <v>83</v>
      </c>
    </row>
    <row r="337" spans="1:82" x14ac:dyDescent="0.25">
      <c r="A337">
        <v>338</v>
      </c>
      <c r="B337" t="s">
        <v>18</v>
      </c>
      <c r="C337" t="s">
        <v>19</v>
      </c>
      <c r="D337" t="s">
        <v>20</v>
      </c>
      <c r="E337" t="s">
        <v>49</v>
      </c>
      <c r="F337" t="s">
        <v>22</v>
      </c>
      <c r="G337" t="s">
        <v>342</v>
      </c>
      <c r="H337">
        <v>2024</v>
      </c>
      <c r="I337">
        <v>12</v>
      </c>
      <c r="J337" t="s">
        <v>51</v>
      </c>
      <c r="K337" t="s">
        <v>52</v>
      </c>
      <c r="L337" t="s">
        <v>45</v>
      </c>
      <c r="M337">
        <v>1</v>
      </c>
      <c r="N337">
        <v>8</v>
      </c>
      <c r="O337">
        <v>1</v>
      </c>
      <c r="P337">
        <v>1</v>
      </c>
      <c r="Q337">
        <v>84</v>
      </c>
      <c r="R337">
        <v>6</v>
      </c>
      <c r="CC337" t="s">
        <v>19</v>
      </c>
      <c r="CD337">
        <v>94</v>
      </c>
    </row>
    <row r="338" spans="1:82" x14ac:dyDescent="0.25">
      <c r="A338">
        <v>339</v>
      </c>
      <c r="B338" t="s">
        <v>34</v>
      </c>
      <c r="C338" t="s">
        <v>35</v>
      </c>
      <c r="D338" t="s">
        <v>36</v>
      </c>
      <c r="E338" t="s">
        <v>54</v>
      </c>
      <c r="F338" t="s">
        <v>38</v>
      </c>
      <c r="G338" t="s">
        <v>271</v>
      </c>
      <c r="H338">
        <v>2025</v>
      </c>
      <c r="I338">
        <v>12</v>
      </c>
      <c r="J338" t="s">
        <v>51</v>
      </c>
      <c r="K338" t="s">
        <v>52</v>
      </c>
      <c r="L338" t="s">
        <v>33</v>
      </c>
      <c r="M338">
        <v>0</v>
      </c>
      <c r="N338">
        <v>8</v>
      </c>
      <c r="O338">
        <v>1</v>
      </c>
      <c r="P338">
        <v>1</v>
      </c>
      <c r="Q338">
        <v>87</v>
      </c>
      <c r="R338">
        <v>7</v>
      </c>
      <c r="CC338" t="s">
        <v>35</v>
      </c>
      <c r="CD338">
        <v>79</v>
      </c>
    </row>
    <row r="339" spans="1:82" x14ac:dyDescent="0.25">
      <c r="A339">
        <v>340</v>
      </c>
      <c r="B339" t="s">
        <v>42</v>
      </c>
      <c r="C339" t="s">
        <v>43</v>
      </c>
      <c r="D339" t="s">
        <v>36</v>
      </c>
      <c r="E339" t="s">
        <v>37</v>
      </c>
      <c r="F339" t="s">
        <v>22</v>
      </c>
      <c r="G339" t="s">
        <v>343</v>
      </c>
      <c r="H339">
        <v>2024</v>
      </c>
      <c r="I339">
        <v>5</v>
      </c>
      <c r="J339" t="s">
        <v>47</v>
      </c>
      <c r="K339" t="s">
        <v>48</v>
      </c>
      <c r="L339" t="s">
        <v>61</v>
      </c>
      <c r="M339">
        <v>0</v>
      </c>
      <c r="N339">
        <v>8</v>
      </c>
      <c r="O339">
        <v>0</v>
      </c>
      <c r="P339">
        <v>0</v>
      </c>
      <c r="Q339">
        <v>0</v>
      </c>
      <c r="R339">
        <v>0</v>
      </c>
      <c r="CC339" t="s">
        <v>43</v>
      </c>
      <c r="CD339">
        <v>83</v>
      </c>
    </row>
    <row r="340" spans="1:82" x14ac:dyDescent="0.25">
      <c r="A340">
        <v>341</v>
      </c>
      <c r="B340" t="s">
        <v>57</v>
      </c>
      <c r="C340" t="s">
        <v>58</v>
      </c>
      <c r="D340" t="s">
        <v>36</v>
      </c>
      <c r="E340" t="s">
        <v>54</v>
      </c>
      <c r="F340" t="s">
        <v>59</v>
      </c>
      <c r="G340" t="s">
        <v>306</v>
      </c>
      <c r="H340">
        <v>2024</v>
      </c>
      <c r="I340">
        <v>7</v>
      </c>
      <c r="J340" t="s">
        <v>32</v>
      </c>
      <c r="K340" t="s">
        <v>25</v>
      </c>
      <c r="L340" t="s">
        <v>85</v>
      </c>
      <c r="M340">
        <v>0</v>
      </c>
      <c r="N340">
        <v>8</v>
      </c>
      <c r="O340">
        <v>0</v>
      </c>
      <c r="P340">
        <v>0</v>
      </c>
      <c r="Q340">
        <v>0</v>
      </c>
      <c r="R340">
        <v>0</v>
      </c>
      <c r="CC340" t="s">
        <v>58</v>
      </c>
      <c r="CD340">
        <v>67</v>
      </c>
    </row>
    <row r="341" spans="1:82" x14ac:dyDescent="0.25">
      <c r="A341">
        <v>342</v>
      </c>
      <c r="B341" t="s">
        <v>79</v>
      </c>
      <c r="C341" t="s">
        <v>80</v>
      </c>
      <c r="D341" t="s">
        <v>20</v>
      </c>
      <c r="E341" t="s">
        <v>29</v>
      </c>
      <c r="F341" t="s">
        <v>81</v>
      </c>
      <c r="G341" t="s">
        <v>344</v>
      </c>
      <c r="H341">
        <v>2024</v>
      </c>
      <c r="I341">
        <v>6</v>
      </c>
      <c r="J341" t="s">
        <v>76</v>
      </c>
      <c r="K341" t="s">
        <v>48</v>
      </c>
      <c r="L341" t="s">
        <v>45</v>
      </c>
      <c r="M341">
        <v>1</v>
      </c>
      <c r="N341">
        <v>8</v>
      </c>
      <c r="O341">
        <v>0</v>
      </c>
      <c r="P341">
        <v>0</v>
      </c>
      <c r="Q341">
        <v>0</v>
      </c>
      <c r="R341">
        <v>0</v>
      </c>
      <c r="CC341" t="s">
        <v>80</v>
      </c>
      <c r="CD341">
        <v>86</v>
      </c>
    </row>
    <row r="342" spans="1:82" x14ac:dyDescent="0.25">
      <c r="A342">
        <v>343</v>
      </c>
      <c r="B342" t="s">
        <v>69</v>
      </c>
      <c r="C342" t="s">
        <v>70</v>
      </c>
      <c r="D342" t="s">
        <v>36</v>
      </c>
      <c r="E342" t="s">
        <v>37</v>
      </c>
      <c r="F342" t="s">
        <v>71</v>
      </c>
      <c r="G342" t="s">
        <v>345</v>
      </c>
      <c r="H342">
        <v>2025</v>
      </c>
      <c r="I342">
        <v>9</v>
      </c>
      <c r="J342" t="s">
        <v>24</v>
      </c>
      <c r="K342" t="s">
        <v>25</v>
      </c>
      <c r="L342" t="s">
        <v>33</v>
      </c>
      <c r="M342">
        <v>0</v>
      </c>
      <c r="N342">
        <v>8</v>
      </c>
      <c r="O342">
        <v>1</v>
      </c>
      <c r="P342">
        <v>1</v>
      </c>
      <c r="Q342">
        <v>83</v>
      </c>
      <c r="R342">
        <v>8</v>
      </c>
      <c r="CC342" t="s">
        <v>70</v>
      </c>
      <c r="CD342">
        <v>64</v>
      </c>
    </row>
    <row r="343" spans="1:82" x14ac:dyDescent="0.25">
      <c r="A343">
        <v>344</v>
      </c>
      <c r="B343" t="s">
        <v>18</v>
      </c>
      <c r="C343" t="s">
        <v>19</v>
      </c>
      <c r="D343" t="s">
        <v>20</v>
      </c>
      <c r="E343" t="s">
        <v>29</v>
      </c>
      <c r="F343" t="s">
        <v>22</v>
      </c>
      <c r="G343" t="s">
        <v>346</v>
      </c>
      <c r="H343">
        <v>2024</v>
      </c>
      <c r="I343">
        <v>2</v>
      </c>
      <c r="J343" t="s">
        <v>84</v>
      </c>
      <c r="K343" t="s">
        <v>41</v>
      </c>
      <c r="L343" t="s">
        <v>61</v>
      </c>
      <c r="M343">
        <v>0</v>
      </c>
      <c r="N343">
        <v>8</v>
      </c>
      <c r="O343">
        <v>1</v>
      </c>
      <c r="P343">
        <v>3</v>
      </c>
      <c r="Q343">
        <v>80</v>
      </c>
      <c r="R343">
        <v>2</v>
      </c>
      <c r="CC343" t="s">
        <v>19</v>
      </c>
      <c r="CD343">
        <v>76</v>
      </c>
    </row>
    <row r="344" spans="1:82" x14ac:dyDescent="0.25">
      <c r="A344">
        <v>345</v>
      </c>
      <c r="B344" t="s">
        <v>18</v>
      </c>
      <c r="C344" t="s">
        <v>19</v>
      </c>
      <c r="D344" t="s">
        <v>20</v>
      </c>
      <c r="E344" t="s">
        <v>29</v>
      </c>
      <c r="F344" t="s">
        <v>22</v>
      </c>
      <c r="G344" t="s">
        <v>226</v>
      </c>
      <c r="H344">
        <v>2025</v>
      </c>
      <c r="I344">
        <v>11</v>
      </c>
      <c r="J344" t="s">
        <v>74</v>
      </c>
      <c r="K344" t="s">
        <v>52</v>
      </c>
      <c r="L344" t="s">
        <v>26</v>
      </c>
      <c r="M344">
        <v>0</v>
      </c>
      <c r="N344">
        <v>8</v>
      </c>
      <c r="O344">
        <v>1</v>
      </c>
      <c r="P344">
        <v>2</v>
      </c>
      <c r="Q344">
        <v>88</v>
      </c>
      <c r="R344">
        <v>8</v>
      </c>
      <c r="CC344" t="s">
        <v>19</v>
      </c>
      <c r="CD344">
        <v>67</v>
      </c>
    </row>
    <row r="345" spans="1:82" x14ac:dyDescent="0.25">
      <c r="A345">
        <v>346</v>
      </c>
      <c r="B345" t="s">
        <v>62</v>
      </c>
      <c r="C345" t="s">
        <v>63</v>
      </c>
      <c r="D345" t="s">
        <v>20</v>
      </c>
      <c r="E345" t="s">
        <v>29</v>
      </c>
      <c r="F345" t="s">
        <v>38</v>
      </c>
      <c r="G345" t="s">
        <v>347</v>
      </c>
      <c r="H345">
        <v>2025</v>
      </c>
      <c r="I345">
        <v>5</v>
      </c>
      <c r="J345" t="s">
        <v>47</v>
      </c>
      <c r="K345" t="s">
        <v>48</v>
      </c>
      <c r="L345" t="s">
        <v>61</v>
      </c>
      <c r="M345">
        <v>0</v>
      </c>
      <c r="N345">
        <v>8</v>
      </c>
      <c r="O345">
        <v>0</v>
      </c>
      <c r="P345">
        <v>0</v>
      </c>
      <c r="Q345">
        <v>0</v>
      </c>
      <c r="R345">
        <v>0</v>
      </c>
      <c r="CC345" t="s">
        <v>63</v>
      </c>
      <c r="CD345">
        <v>76</v>
      </c>
    </row>
    <row r="346" spans="1:82" x14ac:dyDescent="0.25">
      <c r="A346">
        <v>347</v>
      </c>
      <c r="B346" t="s">
        <v>42</v>
      </c>
      <c r="C346" t="s">
        <v>43</v>
      </c>
      <c r="D346" t="s">
        <v>36</v>
      </c>
      <c r="E346" t="s">
        <v>21</v>
      </c>
      <c r="F346" t="s">
        <v>22</v>
      </c>
      <c r="G346" t="s">
        <v>348</v>
      </c>
      <c r="H346">
        <v>2025</v>
      </c>
      <c r="I346">
        <v>2</v>
      </c>
      <c r="J346" t="s">
        <v>84</v>
      </c>
      <c r="K346" t="s">
        <v>41</v>
      </c>
      <c r="L346" t="s">
        <v>33</v>
      </c>
      <c r="M346">
        <v>0</v>
      </c>
      <c r="N346">
        <v>8</v>
      </c>
      <c r="O346">
        <v>1</v>
      </c>
      <c r="P346">
        <v>2</v>
      </c>
      <c r="Q346">
        <v>92</v>
      </c>
      <c r="R346">
        <v>9</v>
      </c>
      <c r="CC346" t="s">
        <v>43</v>
      </c>
      <c r="CD346">
        <v>60</v>
      </c>
    </row>
    <row r="347" spans="1:82" x14ac:dyDescent="0.25">
      <c r="A347">
        <v>348</v>
      </c>
      <c r="B347" t="s">
        <v>18</v>
      </c>
      <c r="C347" t="s">
        <v>19</v>
      </c>
      <c r="D347" t="s">
        <v>20</v>
      </c>
      <c r="E347" t="s">
        <v>29</v>
      </c>
      <c r="F347" t="s">
        <v>22</v>
      </c>
      <c r="G347" t="s">
        <v>349</v>
      </c>
      <c r="H347">
        <v>2025</v>
      </c>
      <c r="I347">
        <v>1</v>
      </c>
      <c r="J347" t="s">
        <v>68</v>
      </c>
      <c r="K347" t="s">
        <v>41</v>
      </c>
      <c r="L347" t="s">
        <v>77</v>
      </c>
      <c r="M347">
        <v>0</v>
      </c>
      <c r="N347">
        <v>8</v>
      </c>
      <c r="O347">
        <v>1</v>
      </c>
      <c r="P347">
        <v>1</v>
      </c>
      <c r="Q347">
        <v>92</v>
      </c>
      <c r="R347">
        <v>5</v>
      </c>
      <c r="CC347" t="s">
        <v>19</v>
      </c>
      <c r="CD347">
        <v>75</v>
      </c>
    </row>
    <row r="348" spans="1:82" x14ac:dyDescent="0.25">
      <c r="A348">
        <v>349</v>
      </c>
      <c r="B348" t="s">
        <v>27</v>
      </c>
      <c r="C348" t="s">
        <v>28</v>
      </c>
      <c r="D348" t="s">
        <v>20</v>
      </c>
      <c r="E348" t="s">
        <v>21</v>
      </c>
      <c r="F348" t="s">
        <v>30</v>
      </c>
      <c r="G348" t="s">
        <v>350</v>
      </c>
      <c r="H348">
        <v>2024</v>
      </c>
      <c r="I348">
        <v>2</v>
      </c>
      <c r="J348" t="s">
        <v>84</v>
      </c>
      <c r="K348" t="s">
        <v>41</v>
      </c>
      <c r="L348" t="s">
        <v>45</v>
      </c>
      <c r="M348">
        <v>1</v>
      </c>
      <c r="N348">
        <v>8</v>
      </c>
      <c r="O348">
        <v>1</v>
      </c>
      <c r="P348">
        <v>0</v>
      </c>
      <c r="Q348">
        <v>69</v>
      </c>
      <c r="R348">
        <v>9</v>
      </c>
      <c r="CC348" t="s">
        <v>28</v>
      </c>
      <c r="CD348">
        <v>78</v>
      </c>
    </row>
    <row r="349" spans="1:82" x14ac:dyDescent="0.25">
      <c r="A349">
        <v>350</v>
      </c>
      <c r="B349" t="s">
        <v>42</v>
      </c>
      <c r="C349" t="s">
        <v>43</v>
      </c>
      <c r="D349" t="s">
        <v>36</v>
      </c>
      <c r="E349" t="s">
        <v>49</v>
      </c>
      <c r="F349" t="s">
        <v>22</v>
      </c>
      <c r="G349" t="s">
        <v>351</v>
      </c>
      <c r="H349">
        <v>2025</v>
      </c>
      <c r="I349">
        <v>10</v>
      </c>
      <c r="J349" t="s">
        <v>105</v>
      </c>
      <c r="K349" t="s">
        <v>52</v>
      </c>
      <c r="L349" t="s">
        <v>77</v>
      </c>
      <c r="M349">
        <v>0</v>
      </c>
      <c r="N349">
        <v>8</v>
      </c>
      <c r="O349">
        <v>0</v>
      </c>
      <c r="P349">
        <v>0</v>
      </c>
      <c r="Q349">
        <v>0</v>
      </c>
      <c r="R349">
        <v>0</v>
      </c>
      <c r="CC349" t="s">
        <v>43</v>
      </c>
      <c r="CD349">
        <v>67</v>
      </c>
    </row>
    <row r="350" spans="1:82" x14ac:dyDescent="0.25">
      <c r="A350">
        <v>351</v>
      </c>
      <c r="B350" t="s">
        <v>42</v>
      </c>
      <c r="C350" t="s">
        <v>43</v>
      </c>
      <c r="D350" t="s">
        <v>36</v>
      </c>
      <c r="E350" t="s">
        <v>54</v>
      </c>
      <c r="F350" t="s">
        <v>22</v>
      </c>
      <c r="G350" t="s">
        <v>352</v>
      </c>
      <c r="H350">
        <v>2025</v>
      </c>
      <c r="I350">
        <v>9</v>
      </c>
      <c r="J350" t="s">
        <v>24</v>
      </c>
      <c r="K350" t="s">
        <v>25</v>
      </c>
      <c r="L350" t="s">
        <v>85</v>
      </c>
      <c r="M350">
        <v>0</v>
      </c>
      <c r="N350">
        <v>8</v>
      </c>
      <c r="O350">
        <v>0</v>
      </c>
      <c r="P350">
        <v>0</v>
      </c>
      <c r="Q350">
        <v>0</v>
      </c>
      <c r="R350">
        <v>0</v>
      </c>
      <c r="CC350" t="s">
        <v>43</v>
      </c>
      <c r="CD350">
        <v>80</v>
      </c>
    </row>
    <row r="351" spans="1:82" x14ac:dyDescent="0.25">
      <c r="A351">
        <v>352</v>
      </c>
      <c r="B351" t="s">
        <v>122</v>
      </c>
      <c r="C351" t="s">
        <v>123</v>
      </c>
      <c r="D351" t="s">
        <v>20</v>
      </c>
      <c r="E351" t="s">
        <v>29</v>
      </c>
      <c r="F351" t="s">
        <v>71</v>
      </c>
      <c r="G351" t="s">
        <v>353</v>
      </c>
      <c r="H351">
        <v>2025</v>
      </c>
      <c r="I351">
        <v>6</v>
      </c>
      <c r="J351" t="s">
        <v>76</v>
      </c>
      <c r="K351" t="s">
        <v>48</v>
      </c>
      <c r="L351" t="s">
        <v>26</v>
      </c>
      <c r="M351">
        <v>0</v>
      </c>
      <c r="N351">
        <v>8</v>
      </c>
      <c r="O351">
        <v>0</v>
      </c>
      <c r="P351">
        <v>0</v>
      </c>
      <c r="Q351">
        <v>0</v>
      </c>
      <c r="R351">
        <v>0</v>
      </c>
      <c r="CC351" t="s">
        <v>123</v>
      </c>
      <c r="CD351">
        <v>85</v>
      </c>
    </row>
    <row r="352" spans="1:82" x14ac:dyDescent="0.25">
      <c r="A352">
        <v>353</v>
      </c>
      <c r="B352" t="s">
        <v>69</v>
      </c>
      <c r="C352" t="s">
        <v>70</v>
      </c>
      <c r="D352" t="s">
        <v>36</v>
      </c>
      <c r="E352" t="s">
        <v>54</v>
      </c>
      <c r="F352" t="s">
        <v>71</v>
      </c>
      <c r="G352" t="s">
        <v>354</v>
      </c>
      <c r="H352">
        <v>2025</v>
      </c>
      <c r="I352">
        <v>9</v>
      </c>
      <c r="J352" t="s">
        <v>24</v>
      </c>
      <c r="K352" t="s">
        <v>25</v>
      </c>
      <c r="L352" t="s">
        <v>77</v>
      </c>
      <c r="M352">
        <v>0</v>
      </c>
      <c r="N352">
        <v>8</v>
      </c>
      <c r="O352">
        <v>1</v>
      </c>
      <c r="P352">
        <v>1</v>
      </c>
      <c r="Q352">
        <v>83</v>
      </c>
      <c r="R352">
        <v>4</v>
      </c>
      <c r="CC352" t="s">
        <v>70</v>
      </c>
      <c r="CD352">
        <v>75</v>
      </c>
    </row>
    <row r="353" spans="1:82" x14ac:dyDescent="0.25">
      <c r="A353">
        <v>354</v>
      </c>
      <c r="B353" t="s">
        <v>18</v>
      </c>
      <c r="C353" t="s">
        <v>19</v>
      </c>
      <c r="D353" t="s">
        <v>20</v>
      </c>
      <c r="E353" t="s">
        <v>29</v>
      </c>
      <c r="F353" t="s">
        <v>22</v>
      </c>
      <c r="G353" t="s">
        <v>355</v>
      </c>
      <c r="H353">
        <v>2024</v>
      </c>
      <c r="I353">
        <v>8</v>
      </c>
      <c r="J353" t="s">
        <v>107</v>
      </c>
      <c r="K353" t="s">
        <v>25</v>
      </c>
      <c r="L353" t="s">
        <v>45</v>
      </c>
      <c r="M353">
        <v>1</v>
      </c>
      <c r="N353">
        <v>8</v>
      </c>
      <c r="O353">
        <v>0</v>
      </c>
      <c r="P353">
        <v>0</v>
      </c>
      <c r="Q353">
        <v>0</v>
      </c>
      <c r="R353">
        <v>0</v>
      </c>
      <c r="CC353" t="s">
        <v>19</v>
      </c>
      <c r="CD353">
        <v>95</v>
      </c>
    </row>
    <row r="354" spans="1:82" x14ac:dyDescent="0.25">
      <c r="A354">
        <v>355</v>
      </c>
      <c r="B354" t="s">
        <v>18</v>
      </c>
      <c r="C354" t="s">
        <v>19</v>
      </c>
      <c r="D354" t="s">
        <v>20</v>
      </c>
      <c r="E354" t="s">
        <v>29</v>
      </c>
      <c r="F354" t="s">
        <v>22</v>
      </c>
      <c r="G354" t="s">
        <v>356</v>
      </c>
      <c r="H354">
        <v>2025</v>
      </c>
      <c r="I354">
        <v>12</v>
      </c>
      <c r="J354" t="s">
        <v>51</v>
      </c>
      <c r="K354" t="s">
        <v>52</v>
      </c>
      <c r="L354" t="s">
        <v>26</v>
      </c>
      <c r="M354">
        <v>0</v>
      </c>
      <c r="N354">
        <v>8</v>
      </c>
      <c r="O354">
        <v>0</v>
      </c>
      <c r="P354">
        <v>0</v>
      </c>
      <c r="Q354">
        <v>0</v>
      </c>
      <c r="R354">
        <v>0</v>
      </c>
      <c r="CC354" t="s">
        <v>19</v>
      </c>
      <c r="CD354">
        <v>87</v>
      </c>
    </row>
    <row r="355" spans="1:82" x14ac:dyDescent="0.25">
      <c r="A355">
        <v>356</v>
      </c>
      <c r="B355" t="s">
        <v>42</v>
      </c>
      <c r="C355" t="s">
        <v>43</v>
      </c>
      <c r="D355" t="s">
        <v>36</v>
      </c>
      <c r="E355" t="s">
        <v>54</v>
      </c>
      <c r="F355" t="s">
        <v>22</v>
      </c>
      <c r="G355" t="s">
        <v>357</v>
      </c>
      <c r="H355">
        <v>2024</v>
      </c>
      <c r="I355">
        <v>7</v>
      </c>
      <c r="J355" t="s">
        <v>32</v>
      </c>
      <c r="K355" t="s">
        <v>25</v>
      </c>
      <c r="L355" t="s">
        <v>33</v>
      </c>
      <c r="M355">
        <v>0</v>
      </c>
      <c r="N355">
        <v>8</v>
      </c>
      <c r="O355">
        <v>1</v>
      </c>
      <c r="P355">
        <v>0</v>
      </c>
      <c r="Q355">
        <v>64</v>
      </c>
      <c r="R355">
        <v>0</v>
      </c>
      <c r="CC355" t="s">
        <v>43</v>
      </c>
      <c r="CD355">
        <v>91</v>
      </c>
    </row>
    <row r="356" spans="1:82" x14ac:dyDescent="0.25">
      <c r="A356">
        <v>357</v>
      </c>
      <c r="B356" t="s">
        <v>18</v>
      </c>
      <c r="C356" t="s">
        <v>19</v>
      </c>
      <c r="D356" t="s">
        <v>20</v>
      </c>
      <c r="E356" t="s">
        <v>49</v>
      </c>
      <c r="F356" t="s">
        <v>22</v>
      </c>
      <c r="G356" t="s">
        <v>358</v>
      </c>
      <c r="H356">
        <v>2024</v>
      </c>
      <c r="I356">
        <v>3</v>
      </c>
      <c r="J356" t="s">
        <v>40</v>
      </c>
      <c r="K356" t="s">
        <v>41</v>
      </c>
      <c r="L356" t="s">
        <v>77</v>
      </c>
      <c r="M356">
        <v>0</v>
      </c>
      <c r="N356">
        <v>8</v>
      </c>
      <c r="O356">
        <v>0</v>
      </c>
      <c r="P356">
        <v>0</v>
      </c>
      <c r="Q356">
        <v>0</v>
      </c>
      <c r="R356">
        <v>0</v>
      </c>
      <c r="CC356" t="s">
        <v>19</v>
      </c>
      <c r="CD356">
        <v>81</v>
      </c>
    </row>
    <row r="357" spans="1:82" x14ac:dyDescent="0.25">
      <c r="A357">
        <v>358</v>
      </c>
      <c r="B357" t="s">
        <v>65</v>
      </c>
      <c r="C357" t="s">
        <v>66</v>
      </c>
      <c r="D357" t="s">
        <v>36</v>
      </c>
      <c r="E357" t="s">
        <v>21</v>
      </c>
      <c r="F357" t="s">
        <v>38</v>
      </c>
      <c r="G357" t="s">
        <v>359</v>
      </c>
      <c r="H357">
        <v>2025</v>
      </c>
      <c r="I357">
        <v>7</v>
      </c>
      <c r="J357" t="s">
        <v>32</v>
      </c>
      <c r="K357" t="s">
        <v>25</v>
      </c>
      <c r="L357" t="s">
        <v>45</v>
      </c>
      <c r="M357">
        <v>1</v>
      </c>
      <c r="N357">
        <v>8</v>
      </c>
      <c r="O357">
        <v>1</v>
      </c>
      <c r="P357">
        <v>1</v>
      </c>
      <c r="Q357">
        <v>75</v>
      </c>
      <c r="R357">
        <v>0</v>
      </c>
      <c r="CC357" t="s">
        <v>66</v>
      </c>
      <c r="CD357">
        <v>95</v>
      </c>
    </row>
    <row r="358" spans="1:82" x14ac:dyDescent="0.25">
      <c r="A358">
        <v>359</v>
      </c>
      <c r="B358" t="s">
        <v>57</v>
      </c>
      <c r="C358" t="s">
        <v>58</v>
      </c>
      <c r="D358" t="s">
        <v>36</v>
      </c>
      <c r="E358" t="s">
        <v>49</v>
      </c>
      <c r="F358" t="s">
        <v>59</v>
      </c>
      <c r="G358" t="s">
        <v>317</v>
      </c>
      <c r="H358">
        <v>2025</v>
      </c>
      <c r="I358">
        <v>2</v>
      </c>
      <c r="J358" t="s">
        <v>84</v>
      </c>
      <c r="K358" t="s">
        <v>41</v>
      </c>
      <c r="L358" t="s">
        <v>85</v>
      </c>
      <c r="M358">
        <v>0</v>
      </c>
      <c r="N358">
        <v>8</v>
      </c>
      <c r="O358">
        <v>0</v>
      </c>
      <c r="P358">
        <v>0</v>
      </c>
      <c r="Q358">
        <v>0</v>
      </c>
      <c r="R358">
        <v>0</v>
      </c>
      <c r="CC358" t="s">
        <v>58</v>
      </c>
      <c r="CD358">
        <v>68</v>
      </c>
    </row>
    <row r="359" spans="1:82" x14ac:dyDescent="0.25">
      <c r="A359">
        <v>360</v>
      </c>
      <c r="B359" t="s">
        <v>27</v>
      </c>
      <c r="C359" t="s">
        <v>28</v>
      </c>
      <c r="D359" t="s">
        <v>20</v>
      </c>
      <c r="E359" t="s">
        <v>37</v>
      </c>
      <c r="F359" t="s">
        <v>30</v>
      </c>
      <c r="G359" t="s">
        <v>259</v>
      </c>
      <c r="H359">
        <v>2025</v>
      </c>
      <c r="I359">
        <v>6</v>
      </c>
      <c r="J359" t="s">
        <v>76</v>
      </c>
      <c r="K359" t="s">
        <v>48</v>
      </c>
      <c r="L359" t="s">
        <v>85</v>
      </c>
      <c r="M359">
        <v>0</v>
      </c>
      <c r="N359">
        <v>8</v>
      </c>
      <c r="O359">
        <v>0</v>
      </c>
      <c r="P359">
        <v>0</v>
      </c>
      <c r="Q359">
        <v>0</v>
      </c>
      <c r="R359">
        <v>0</v>
      </c>
      <c r="CC359" t="s">
        <v>28</v>
      </c>
      <c r="CD359">
        <v>79</v>
      </c>
    </row>
    <row r="360" spans="1:82" x14ac:dyDescent="0.25">
      <c r="A360">
        <v>361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 t="s">
        <v>360</v>
      </c>
      <c r="H360">
        <v>2025</v>
      </c>
      <c r="I360">
        <v>6</v>
      </c>
      <c r="J360" t="s">
        <v>76</v>
      </c>
      <c r="K360" t="s">
        <v>48</v>
      </c>
      <c r="L360" t="s">
        <v>77</v>
      </c>
      <c r="M360">
        <v>0</v>
      </c>
      <c r="N360">
        <v>8</v>
      </c>
      <c r="O360">
        <v>0</v>
      </c>
      <c r="P360">
        <v>0</v>
      </c>
      <c r="Q360">
        <v>0</v>
      </c>
      <c r="R360">
        <v>0</v>
      </c>
      <c r="CC360" t="s">
        <v>19</v>
      </c>
      <c r="CD360">
        <v>88</v>
      </c>
    </row>
    <row r="361" spans="1:82" x14ac:dyDescent="0.25">
      <c r="A361">
        <v>362</v>
      </c>
      <c r="B361" t="s">
        <v>42</v>
      </c>
      <c r="C361" t="s">
        <v>43</v>
      </c>
      <c r="D361" t="s">
        <v>36</v>
      </c>
      <c r="E361" t="s">
        <v>49</v>
      </c>
      <c r="F361" t="s">
        <v>22</v>
      </c>
      <c r="G361" t="s">
        <v>284</v>
      </c>
      <c r="H361">
        <v>2024</v>
      </c>
      <c r="I361">
        <v>1</v>
      </c>
      <c r="J361" t="s">
        <v>68</v>
      </c>
      <c r="K361" t="s">
        <v>41</v>
      </c>
      <c r="L361" t="s">
        <v>85</v>
      </c>
      <c r="M361">
        <v>0</v>
      </c>
      <c r="N361">
        <v>8</v>
      </c>
      <c r="O361">
        <v>1</v>
      </c>
      <c r="P361">
        <v>2</v>
      </c>
      <c r="Q361">
        <v>62</v>
      </c>
      <c r="R361">
        <v>1</v>
      </c>
      <c r="CC361" t="s">
        <v>43</v>
      </c>
      <c r="CD361">
        <v>87</v>
      </c>
    </row>
    <row r="362" spans="1:82" x14ac:dyDescent="0.25">
      <c r="A362">
        <v>363</v>
      </c>
      <c r="B362" t="s">
        <v>62</v>
      </c>
      <c r="C362" t="s">
        <v>63</v>
      </c>
      <c r="D362" t="s">
        <v>20</v>
      </c>
      <c r="E362" t="s">
        <v>29</v>
      </c>
      <c r="F362" t="s">
        <v>38</v>
      </c>
      <c r="G362" t="s">
        <v>361</v>
      </c>
      <c r="H362">
        <v>2025</v>
      </c>
      <c r="I362">
        <v>10</v>
      </c>
      <c r="J362" t="s">
        <v>105</v>
      </c>
      <c r="K362" t="s">
        <v>52</v>
      </c>
      <c r="L362" t="s">
        <v>33</v>
      </c>
      <c r="M362">
        <v>0</v>
      </c>
      <c r="N362">
        <v>8</v>
      </c>
      <c r="O362">
        <v>0</v>
      </c>
      <c r="P362">
        <v>0</v>
      </c>
      <c r="Q362">
        <v>0</v>
      </c>
      <c r="R362">
        <v>0</v>
      </c>
      <c r="CC362" t="s">
        <v>63</v>
      </c>
      <c r="CD362">
        <v>88</v>
      </c>
    </row>
    <row r="363" spans="1:82" x14ac:dyDescent="0.25">
      <c r="A363">
        <v>364</v>
      </c>
      <c r="B363" t="s">
        <v>18</v>
      </c>
      <c r="C363" t="s">
        <v>19</v>
      </c>
      <c r="D363" t="s">
        <v>20</v>
      </c>
      <c r="E363" t="s">
        <v>21</v>
      </c>
      <c r="F363" t="s">
        <v>22</v>
      </c>
      <c r="G363" t="s">
        <v>362</v>
      </c>
      <c r="H363">
        <v>2024</v>
      </c>
      <c r="I363">
        <v>1</v>
      </c>
      <c r="J363" t="s">
        <v>68</v>
      </c>
      <c r="K363" t="s">
        <v>41</v>
      </c>
      <c r="L363" t="s">
        <v>33</v>
      </c>
      <c r="M363">
        <v>0</v>
      </c>
      <c r="N363">
        <v>8</v>
      </c>
      <c r="O363">
        <v>0</v>
      </c>
      <c r="P363">
        <v>0</v>
      </c>
      <c r="Q363">
        <v>0</v>
      </c>
      <c r="R363">
        <v>0</v>
      </c>
      <c r="CC363" t="s">
        <v>19</v>
      </c>
      <c r="CD363">
        <v>83</v>
      </c>
    </row>
    <row r="364" spans="1:82" x14ac:dyDescent="0.25">
      <c r="A364">
        <v>365</v>
      </c>
      <c r="B364" t="s">
        <v>65</v>
      </c>
      <c r="C364" t="s">
        <v>66</v>
      </c>
      <c r="D364" t="s">
        <v>36</v>
      </c>
      <c r="E364" t="s">
        <v>21</v>
      </c>
      <c r="F364" t="s">
        <v>38</v>
      </c>
      <c r="G364" t="s">
        <v>282</v>
      </c>
      <c r="H364">
        <v>2024</v>
      </c>
      <c r="I364">
        <v>12</v>
      </c>
      <c r="J364" t="s">
        <v>51</v>
      </c>
      <c r="K364" t="s">
        <v>52</v>
      </c>
      <c r="L364" t="s">
        <v>26</v>
      </c>
      <c r="M364">
        <v>0</v>
      </c>
      <c r="N364">
        <v>8</v>
      </c>
      <c r="O364">
        <v>1</v>
      </c>
      <c r="P364">
        <v>2</v>
      </c>
      <c r="Q364">
        <v>79</v>
      </c>
      <c r="R364">
        <v>6</v>
      </c>
      <c r="CC364" t="s">
        <v>66</v>
      </c>
      <c r="CD364">
        <v>75</v>
      </c>
    </row>
    <row r="365" spans="1:82" x14ac:dyDescent="0.25">
      <c r="A365">
        <v>366</v>
      </c>
      <c r="B365" t="s">
        <v>57</v>
      </c>
      <c r="C365" t="s">
        <v>58</v>
      </c>
      <c r="D365" t="s">
        <v>36</v>
      </c>
      <c r="E365" t="s">
        <v>21</v>
      </c>
      <c r="F365" t="s">
        <v>59</v>
      </c>
      <c r="G365" t="s">
        <v>363</v>
      </c>
      <c r="H365">
        <v>2024</v>
      </c>
      <c r="I365">
        <v>6</v>
      </c>
      <c r="J365" t="s">
        <v>76</v>
      </c>
      <c r="K365" t="s">
        <v>48</v>
      </c>
      <c r="L365" t="s">
        <v>53</v>
      </c>
      <c r="M365">
        <v>1</v>
      </c>
      <c r="N365">
        <v>8</v>
      </c>
      <c r="O365">
        <v>0</v>
      </c>
      <c r="P365">
        <v>0</v>
      </c>
      <c r="Q365">
        <v>0</v>
      </c>
      <c r="R365">
        <v>0</v>
      </c>
      <c r="CC365" t="s">
        <v>58</v>
      </c>
      <c r="CD365">
        <v>79</v>
      </c>
    </row>
    <row r="366" spans="1:82" x14ac:dyDescent="0.25">
      <c r="A366">
        <v>367</v>
      </c>
      <c r="B366" t="s">
        <v>18</v>
      </c>
      <c r="C366" t="s">
        <v>19</v>
      </c>
      <c r="D366" t="s">
        <v>20</v>
      </c>
      <c r="E366" t="s">
        <v>21</v>
      </c>
      <c r="F366" t="s">
        <v>22</v>
      </c>
      <c r="G366" t="s">
        <v>364</v>
      </c>
      <c r="H366">
        <v>2024</v>
      </c>
      <c r="I366">
        <v>1</v>
      </c>
      <c r="J366" t="s">
        <v>68</v>
      </c>
      <c r="K366" t="s">
        <v>41</v>
      </c>
      <c r="L366" t="s">
        <v>61</v>
      </c>
      <c r="M366">
        <v>0</v>
      </c>
      <c r="N366">
        <v>8</v>
      </c>
      <c r="O366">
        <v>1</v>
      </c>
      <c r="P366">
        <v>2</v>
      </c>
      <c r="Q366">
        <v>85</v>
      </c>
      <c r="R366">
        <v>4</v>
      </c>
      <c r="CC366" t="s">
        <v>19</v>
      </c>
      <c r="CD366">
        <v>75</v>
      </c>
    </row>
    <row r="367" spans="1:82" x14ac:dyDescent="0.25">
      <c r="A367">
        <v>368</v>
      </c>
      <c r="B367" t="s">
        <v>65</v>
      </c>
      <c r="C367" t="s">
        <v>66</v>
      </c>
      <c r="D367" t="s">
        <v>36</v>
      </c>
      <c r="E367" t="s">
        <v>49</v>
      </c>
      <c r="F367" t="s">
        <v>38</v>
      </c>
      <c r="G367" t="s">
        <v>203</v>
      </c>
      <c r="H367">
        <v>2025</v>
      </c>
      <c r="I367">
        <v>11</v>
      </c>
      <c r="J367" t="s">
        <v>74</v>
      </c>
      <c r="K367" t="s">
        <v>52</v>
      </c>
      <c r="L367" t="s">
        <v>77</v>
      </c>
      <c r="M367">
        <v>0</v>
      </c>
      <c r="N367">
        <v>8</v>
      </c>
      <c r="O367">
        <v>1</v>
      </c>
      <c r="P367">
        <v>2</v>
      </c>
      <c r="Q367">
        <v>64</v>
      </c>
      <c r="R367">
        <v>6</v>
      </c>
      <c r="CC367" t="s">
        <v>66</v>
      </c>
      <c r="CD367">
        <v>80</v>
      </c>
    </row>
    <row r="368" spans="1:82" x14ac:dyDescent="0.25">
      <c r="A368">
        <v>369</v>
      </c>
      <c r="B368" t="s">
        <v>18</v>
      </c>
      <c r="C368" t="s">
        <v>19</v>
      </c>
      <c r="D368" t="s">
        <v>20</v>
      </c>
      <c r="E368" t="s">
        <v>29</v>
      </c>
      <c r="F368" t="s">
        <v>22</v>
      </c>
      <c r="G368" t="s">
        <v>233</v>
      </c>
      <c r="H368">
        <v>2024</v>
      </c>
      <c r="I368">
        <v>7</v>
      </c>
      <c r="J368" t="s">
        <v>32</v>
      </c>
      <c r="K368" t="s">
        <v>25</v>
      </c>
      <c r="L368" t="s">
        <v>26</v>
      </c>
      <c r="M368">
        <v>0</v>
      </c>
      <c r="N368">
        <v>8</v>
      </c>
      <c r="O368">
        <v>0</v>
      </c>
      <c r="P368">
        <v>0</v>
      </c>
      <c r="Q368">
        <v>0</v>
      </c>
      <c r="R368">
        <v>0</v>
      </c>
      <c r="CC368" t="s">
        <v>19</v>
      </c>
      <c r="CD368">
        <v>77</v>
      </c>
    </row>
    <row r="369" spans="1:82" x14ac:dyDescent="0.25">
      <c r="A369">
        <v>370</v>
      </c>
      <c r="B369" t="s">
        <v>42</v>
      </c>
      <c r="C369" t="s">
        <v>43</v>
      </c>
      <c r="D369" t="s">
        <v>36</v>
      </c>
      <c r="E369" t="s">
        <v>54</v>
      </c>
      <c r="F369" t="s">
        <v>22</v>
      </c>
      <c r="G369" t="s">
        <v>365</v>
      </c>
      <c r="H369">
        <v>2025</v>
      </c>
      <c r="I369">
        <v>12</v>
      </c>
      <c r="J369" t="s">
        <v>51</v>
      </c>
      <c r="K369" t="s">
        <v>52</v>
      </c>
      <c r="L369" t="s">
        <v>53</v>
      </c>
      <c r="M369">
        <v>1</v>
      </c>
      <c r="N369">
        <v>8</v>
      </c>
      <c r="O369">
        <v>0</v>
      </c>
      <c r="P369">
        <v>0</v>
      </c>
      <c r="Q369">
        <v>0</v>
      </c>
      <c r="R369">
        <v>0</v>
      </c>
      <c r="CC369" t="s">
        <v>43</v>
      </c>
      <c r="CD369">
        <v>74</v>
      </c>
    </row>
    <row r="370" spans="1:82" x14ac:dyDescent="0.25">
      <c r="A370">
        <v>371</v>
      </c>
      <c r="B370" t="s">
        <v>34</v>
      </c>
      <c r="C370" t="s">
        <v>35</v>
      </c>
      <c r="D370" t="s">
        <v>36</v>
      </c>
      <c r="E370" t="s">
        <v>29</v>
      </c>
      <c r="F370" t="s">
        <v>38</v>
      </c>
      <c r="G370" t="s">
        <v>366</v>
      </c>
      <c r="H370">
        <v>2025</v>
      </c>
      <c r="I370">
        <v>11</v>
      </c>
      <c r="J370" t="s">
        <v>74</v>
      </c>
      <c r="K370" t="s">
        <v>52</v>
      </c>
      <c r="L370" t="s">
        <v>61</v>
      </c>
      <c r="M370">
        <v>0</v>
      </c>
      <c r="N370">
        <v>8</v>
      </c>
      <c r="O370">
        <v>1</v>
      </c>
      <c r="P370">
        <v>0</v>
      </c>
      <c r="Q370">
        <v>90</v>
      </c>
      <c r="R370">
        <v>10</v>
      </c>
      <c r="CC370" t="s">
        <v>35</v>
      </c>
      <c r="CD370">
        <v>70</v>
      </c>
    </row>
    <row r="371" spans="1:82" x14ac:dyDescent="0.25">
      <c r="A371">
        <v>372</v>
      </c>
      <c r="B371" t="s">
        <v>27</v>
      </c>
      <c r="C371" t="s">
        <v>28</v>
      </c>
      <c r="D371" t="s">
        <v>20</v>
      </c>
      <c r="E371" t="s">
        <v>21</v>
      </c>
      <c r="F371" t="s">
        <v>30</v>
      </c>
      <c r="G371" t="s">
        <v>282</v>
      </c>
      <c r="H371">
        <v>2024</v>
      </c>
      <c r="I371">
        <v>12</v>
      </c>
      <c r="J371" t="s">
        <v>51</v>
      </c>
      <c r="K371" t="s">
        <v>52</v>
      </c>
      <c r="L371" t="s">
        <v>26</v>
      </c>
      <c r="M371">
        <v>0</v>
      </c>
      <c r="N371">
        <v>8</v>
      </c>
      <c r="O371">
        <v>0</v>
      </c>
      <c r="P371">
        <v>0</v>
      </c>
      <c r="Q371">
        <v>0</v>
      </c>
      <c r="R371">
        <v>0</v>
      </c>
      <c r="CC371" t="s">
        <v>28</v>
      </c>
      <c r="CD371">
        <v>91</v>
      </c>
    </row>
    <row r="372" spans="1:82" x14ac:dyDescent="0.25">
      <c r="A372">
        <v>373</v>
      </c>
      <c r="B372" t="s">
        <v>65</v>
      </c>
      <c r="C372" t="s">
        <v>66</v>
      </c>
      <c r="D372" t="s">
        <v>36</v>
      </c>
      <c r="E372" t="s">
        <v>21</v>
      </c>
      <c r="F372" t="s">
        <v>38</v>
      </c>
      <c r="G372" t="s">
        <v>367</v>
      </c>
      <c r="H372">
        <v>2024</v>
      </c>
      <c r="I372">
        <v>6</v>
      </c>
      <c r="J372" t="s">
        <v>76</v>
      </c>
      <c r="K372" t="s">
        <v>48</v>
      </c>
      <c r="L372" t="s">
        <v>85</v>
      </c>
      <c r="M372">
        <v>0</v>
      </c>
      <c r="N372">
        <v>8</v>
      </c>
      <c r="O372">
        <v>1</v>
      </c>
      <c r="P372">
        <v>0</v>
      </c>
      <c r="Q372">
        <v>75</v>
      </c>
      <c r="R372">
        <v>2</v>
      </c>
      <c r="CC372" t="s">
        <v>66</v>
      </c>
      <c r="CD372">
        <v>62</v>
      </c>
    </row>
    <row r="373" spans="1:82" x14ac:dyDescent="0.25">
      <c r="A373">
        <v>374</v>
      </c>
      <c r="B373" t="s">
        <v>27</v>
      </c>
      <c r="C373" t="s">
        <v>28</v>
      </c>
      <c r="D373" t="s">
        <v>20</v>
      </c>
      <c r="E373" t="s">
        <v>37</v>
      </c>
      <c r="F373" t="s">
        <v>30</v>
      </c>
      <c r="G373" t="s">
        <v>234</v>
      </c>
      <c r="H373">
        <v>2025</v>
      </c>
      <c r="I373">
        <v>7</v>
      </c>
      <c r="J373" t="s">
        <v>32</v>
      </c>
      <c r="K373" t="s">
        <v>25</v>
      </c>
      <c r="L373" t="s">
        <v>45</v>
      </c>
      <c r="M373">
        <v>1</v>
      </c>
      <c r="N373">
        <v>8</v>
      </c>
      <c r="O373">
        <v>0</v>
      </c>
      <c r="P373">
        <v>0</v>
      </c>
      <c r="Q373">
        <v>0</v>
      </c>
      <c r="R373">
        <v>0</v>
      </c>
      <c r="CC373" t="s">
        <v>28</v>
      </c>
      <c r="CD373">
        <v>67</v>
      </c>
    </row>
    <row r="374" spans="1:82" x14ac:dyDescent="0.25">
      <c r="A374">
        <v>375</v>
      </c>
      <c r="B374" t="s">
        <v>42</v>
      </c>
      <c r="C374" t="s">
        <v>43</v>
      </c>
      <c r="D374" t="s">
        <v>36</v>
      </c>
      <c r="E374" t="s">
        <v>21</v>
      </c>
      <c r="F374" t="s">
        <v>22</v>
      </c>
      <c r="G374" t="s">
        <v>368</v>
      </c>
      <c r="H374">
        <v>2025</v>
      </c>
      <c r="I374">
        <v>7</v>
      </c>
      <c r="J374" t="s">
        <v>32</v>
      </c>
      <c r="K374" t="s">
        <v>25</v>
      </c>
      <c r="L374" t="s">
        <v>26</v>
      </c>
      <c r="M374">
        <v>0</v>
      </c>
      <c r="N374">
        <v>8</v>
      </c>
      <c r="O374">
        <v>1</v>
      </c>
      <c r="P374">
        <v>0</v>
      </c>
      <c r="Q374">
        <v>63</v>
      </c>
      <c r="R374">
        <v>0</v>
      </c>
      <c r="CC374" t="s">
        <v>43</v>
      </c>
      <c r="CD374">
        <v>91</v>
      </c>
    </row>
    <row r="375" spans="1:82" x14ac:dyDescent="0.25">
      <c r="A375">
        <v>376</v>
      </c>
      <c r="B375" t="s">
        <v>122</v>
      </c>
      <c r="C375" t="s">
        <v>123</v>
      </c>
      <c r="D375" t="s">
        <v>20</v>
      </c>
      <c r="E375" t="s">
        <v>29</v>
      </c>
      <c r="F375" t="s">
        <v>71</v>
      </c>
      <c r="G375" t="s">
        <v>181</v>
      </c>
      <c r="H375">
        <v>2025</v>
      </c>
      <c r="I375">
        <v>6</v>
      </c>
      <c r="J375" t="s">
        <v>76</v>
      </c>
      <c r="K375" t="s">
        <v>48</v>
      </c>
      <c r="L375" t="s">
        <v>61</v>
      </c>
      <c r="M375">
        <v>0</v>
      </c>
      <c r="N375">
        <v>8</v>
      </c>
      <c r="O375">
        <v>0</v>
      </c>
      <c r="P375">
        <v>0</v>
      </c>
      <c r="Q375">
        <v>0</v>
      </c>
      <c r="R375">
        <v>0</v>
      </c>
      <c r="CC375" t="s">
        <v>123</v>
      </c>
      <c r="CD375">
        <v>93</v>
      </c>
    </row>
    <row r="376" spans="1:82" x14ac:dyDescent="0.25">
      <c r="A376">
        <v>377</v>
      </c>
      <c r="B376" t="s">
        <v>18</v>
      </c>
      <c r="C376" t="s">
        <v>19</v>
      </c>
      <c r="D376" t="s">
        <v>20</v>
      </c>
      <c r="E376" t="s">
        <v>21</v>
      </c>
      <c r="F376" t="s">
        <v>22</v>
      </c>
      <c r="G376" t="s">
        <v>369</v>
      </c>
      <c r="H376">
        <v>2024</v>
      </c>
      <c r="I376">
        <v>2</v>
      </c>
      <c r="J376" t="s">
        <v>84</v>
      </c>
      <c r="K376" t="s">
        <v>41</v>
      </c>
      <c r="L376" t="s">
        <v>61</v>
      </c>
      <c r="M376">
        <v>0</v>
      </c>
      <c r="N376">
        <v>8</v>
      </c>
      <c r="O376">
        <v>1</v>
      </c>
      <c r="P376">
        <v>1</v>
      </c>
      <c r="Q376">
        <v>68</v>
      </c>
      <c r="R376">
        <v>3</v>
      </c>
      <c r="CC376" t="s">
        <v>19</v>
      </c>
      <c r="CD376">
        <v>74</v>
      </c>
    </row>
    <row r="377" spans="1:82" x14ac:dyDescent="0.25">
      <c r="A377">
        <v>378</v>
      </c>
      <c r="B377" t="s">
        <v>122</v>
      </c>
      <c r="C377" t="s">
        <v>123</v>
      </c>
      <c r="D377" t="s">
        <v>20</v>
      </c>
      <c r="E377" t="s">
        <v>21</v>
      </c>
      <c r="F377" t="s">
        <v>71</v>
      </c>
      <c r="G377" t="s">
        <v>276</v>
      </c>
      <c r="H377">
        <v>2024</v>
      </c>
      <c r="I377">
        <v>1</v>
      </c>
      <c r="J377" t="s">
        <v>68</v>
      </c>
      <c r="K377" t="s">
        <v>41</v>
      </c>
      <c r="L377" t="s">
        <v>26</v>
      </c>
      <c r="M377">
        <v>0</v>
      </c>
      <c r="N377">
        <v>8</v>
      </c>
      <c r="O377">
        <v>1</v>
      </c>
      <c r="P377">
        <v>2</v>
      </c>
      <c r="Q377">
        <v>80</v>
      </c>
      <c r="R377">
        <v>8</v>
      </c>
      <c r="CC377" t="s">
        <v>123</v>
      </c>
      <c r="CD377">
        <v>81</v>
      </c>
    </row>
    <row r="378" spans="1:82" x14ac:dyDescent="0.25">
      <c r="A378">
        <v>379</v>
      </c>
      <c r="B378" t="s">
        <v>18</v>
      </c>
      <c r="C378" t="s">
        <v>19</v>
      </c>
      <c r="D378" t="s">
        <v>20</v>
      </c>
      <c r="E378" t="s">
        <v>54</v>
      </c>
      <c r="F378" t="s">
        <v>22</v>
      </c>
      <c r="G378" t="s">
        <v>280</v>
      </c>
      <c r="H378">
        <v>2025</v>
      </c>
      <c r="I378">
        <v>3</v>
      </c>
      <c r="J378" t="s">
        <v>40</v>
      </c>
      <c r="K378" t="s">
        <v>41</v>
      </c>
      <c r="L378" t="s">
        <v>45</v>
      </c>
      <c r="M378">
        <v>1</v>
      </c>
      <c r="N378">
        <v>8</v>
      </c>
      <c r="O378">
        <v>1</v>
      </c>
      <c r="P378">
        <v>3</v>
      </c>
      <c r="Q378">
        <v>68</v>
      </c>
      <c r="R378">
        <v>0</v>
      </c>
      <c r="CC378" t="s">
        <v>19</v>
      </c>
      <c r="CD378">
        <v>82</v>
      </c>
    </row>
    <row r="379" spans="1:82" x14ac:dyDescent="0.25">
      <c r="A379">
        <v>380</v>
      </c>
      <c r="B379" t="s">
        <v>27</v>
      </c>
      <c r="C379" t="s">
        <v>28</v>
      </c>
      <c r="D379" t="s">
        <v>20</v>
      </c>
      <c r="E379" t="s">
        <v>54</v>
      </c>
      <c r="F379" t="s">
        <v>30</v>
      </c>
      <c r="G379" t="s">
        <v>235</v>
      </c>
      <c r="H379">
        <v>2025</v>
      </c>
      <c r="I379">
        <v>6</v>
      </c>
      <c r="J379" t="s">
        <v>76</v>
      </c>
      <c r="K379" t="s">
        <v>48</v>
      </c>
      <c r="L379" t="s">
        <v>61</v>
      </c>
      <c r="M379">
        <v>0</v>
      </c>
      <c r="N379">
        <v>8</v>
      </c>
      <c r="O379">
        <v>1</v>
      </c>
      <c r="P379">
        <v>1</v>
      </c>
      <c r="Q379">
        <v>88</v>
      </c>
      <c r="R379">
        <v>2</v>
      </c>
      <c r="CC379" t="s">
        <v>28</v>
      </c>
      <c r="CD379">
        <v>88</v>
      </c>
    </row>
    <row r="380" spans="1:82" x14ac:dyDescent="0.25">
      <c r="A380">
        <v>381</v>
      </c>
      <c r="B380" t="s">
        <v>57</v>
      </c>
      <c r="C380" t="s">
        <v>58</v>
      </c>
      <c r="D380" t="s">
        <v>36</v>
      </c>
      <c r="E380" t="s">
        <v>29</v>
      </c>
      <c r="F380" t="s">
        <v>59</v>
      </c>
      <c r="G380" t="s">
        <v>370</v>
      </c>
      <c r="H380">
        <v>2025</v>
      </c>
      <c r="I380">
        <v>9</v>
      </c>
      <c r="J380" t="s">
        <v>24</v>
      </c>
      <c r="K380" t="s">
        <v>25</v>
      </c>
      <c r="L380" t="s">
        <v>77</v>
      </c>
      <c r="M380">
        <v>0</v>
      </c>
      <c r="N380">
        <v>8</v>
      </c>
      <c r="O380">
        <v>1</v>
      </c>
      <c r="P380">
        <v>2</v>
      </c>
      <c r="Q380">
        <v>78</v>
      </c>
      <c r="R380">
        <v>10</v>
      </c>
      <c r="CC380" t="s">
        <v>58</v>
      </c>
      <c r="CD380">
        <v>75</v>
      </c>
    </row>
    <row r="381" spans="1:82" x14ac:dyDescent="0.25">
      <c r="A381">
        <v>382</v>
      </c>
      <c r="B381" t="s">
        <v>122</v>
      </c>
      <c r="C381" t="s">
        <v>123</v>
      </c>
      <c r="D381" t="s">
        <v>20</v>
      </c>
      <c r="E381" t="s">
        <v>21</v>
      </c>
      <c r="F381" t="s">
        <v>71</v>
      </c>
      <c r="G381" t="s">
        <v>172</v>
      </c>
      <c r="H381">
        <v>2024</v>
      </c>
      <c r="I381">
        <v>4</v>
      </c>
      <c r="J381" t="s">
        <v>89</v>
      </c>
      <c r="K381" t="s">
        <v>48</v>
      </c>
      <c r="L381" t="s">
        <v>26</v>
      </c>
      <c r="M381">
        <v>0</v>
      </c>
      <c r="N381">
        <v>8</v>
      </c>
      <c r="O381">
        <v>1</v>
      </c>
      <c r="P381">
        <v>2</v>
      </c>
      <c r="Q381">
        <v>94</v>
      </c>
      <c r="R381">
        <v>2</v>
      </c>
      <c r="CC381" t="s">
        <v>123</v>
      </c>
      <c r="CD381">
        <v>88</v>
      </c>
    </row>
    <row r="382" spans="1:82" x14ac:dyDescent="0.25">
      <c r="A382">
        <v>383</v>
      </c>
      <c r="B382" t="s">
        <v>57</v>
      </c>
      <c r="C382" t="s">
        <v>58</v>
      </c>
      <c r="D382" t="s">
        <v>36</v>
      </c>
      <c r="E382" t="s">
        <v>37</v>
      </c>
      <c r="F382" t="s">
        <v>59</v>
      </c>
      <c r="G382" t="s">
        <v>371</v>
      </c>
      <c r="H382">
        <v>2025</v>
      </c>
      <c r="I382">
        <v>4</v>
      </c>
      <c r="J382" t="s">
        <v>89</v>
      </c>
      <c r="K382" t="s">
        <v>48</v>
      </c>
      <c r="L382" t="s">
        <v>61</v>
      </c>
      <c r="M382">
        <v>0</v>
      </c>
      <c r="N382">
        <v>8</v>
      </c>
      <c r="O382">
        <v>1</v>
      </c>
      <c r="P382">
        <v>0</v>
      </c>
      <c r="Q382">
        <v>88</v>
      </c>
      <c r="R382">
        <v>5</v>
      </c>
      <c r="CC382" t="s">
        <v>58</v>
      </c>
      <c r="CD382">
        <v>60</v>
      </c>
    </row>
    <row r="383" spans="1:82" x14ac:dyDescent="0.25">
      <c r="A383">
        <v>384</v>
      </c>
      <c r="B383" t="s">
        <v>42</v>
      </c>
      <c r="C383" t="s">
        <v>43</v>
      </c>
      <c r="D383" t="s">
        <v>36</v>
      </c>
      <c r="E383" t="s">
        <v>54</v>
      </c>
      <c r="F383" t="s">
        <v>22</v>
      </c>
      <c r="G383" t="s">
        <v>372</v>
      </c>
      <c r="H383">
        <v>2025</v>
      </c>
      <c r="I383">
        <v>10</v>
      </c>
      <c r="J383" t="s">
        <v>105</v>
      </c>
      <c r="K383" t="s">
        <v>52</v>
      </c>
      <c r="L383" t="s">
        <v>45</v>
      </c>
      <c r="M383">
        <v>1</v>
      </c>
      <c r="N383">
        <v>8</v>
      </c>
      <c r="O383">
        <v>0</v>
      </c>
      <c r="P383">
        <v>0</v>
      </c>
      <c r="Q383">
        <v>0</v>
      </c>
      <c r="R383">
        <v>0</v>
      </c>
      <c r="CC383" t="s">
        <v>43</v>
      </c>
      <c r="CD383">
        <v>81</v>
      </c>
    </row>
    <row r="384" spans="1:82" x14ac:dyDescent="0.25">
      <c r="A384">
        <v>385</v>
      </c>
      <c r="B384" t="s">
        <v>18</v>
      </c>
      <c r="C384" t="s">
        <v>19</v>
      </c>
      <c r="D384" t="s">
        <v>20</v>
      </c>
      <c r="E384" t="s">
        <v>49</v>
      </c>
      <c r="F384" t="s">
        <v>22</v>
      </c>
      <c r="G384" t="s">
        <v>129</v>
      </c>
      <c r="H384">
        <v>2025</v>
      </c>
      <c r="I384">
        <v>3</v>
      </c>
      <c r="J384" t="s">
        <v>40</v>
      </c>
      <c r="K384" t="s">
        <v>41</v>
      </c>
      <c r="L384" t="s">
        <v>45</v>
      </c>
      <c r="M384">
        <v>1</v>
      </c>
      <c r="N384">
        <v>8</v>
      </c>
      <c r="O384">
        <v>1</v>
      </c>
      <c r="P384">
        <v>1</v>
      </c>
      <c r="Q384">
        <v>76</v>
      </c>
      <c r="R384">
        <v>5</v>
      </c>
      <c r="CC384" t="s">
        <v>19</v>
      </c>
      <c r="CD384">
        <v>82</v>
      </c>
    </row>
    <row r="385" spans="1:82" x14ac:dyDescent="0.25">
      <c r="A385">
        <v>386</v>
      </c>
      <c r="B385" t="s">
        <v>27</v>
      </c>
      <c r="C385" t="s">
        <v>28</v>
      </c>
      <c r="D385" t="s">
        <v>20</v>
      </c>
      <c r="E385" t="s">
        <v>49</v>
      </c>
      <c r="F385" t="s">
        <v>30</v>
      </c>
      <c r="G385" t="s">
        <v>373</v>
      </c>
      <c r="H385">
        <v>2024</v>
      </c>
      <c r="I385">
        <v>2</v>
      </c>
      <c r="J385" t="s">
        <v>84</v>
      </c>
      <c r="K385" t="s">
        <v>41</v>
      </c>
      <c r="L385" t="s">
        <v>77</v>
      </c>
      <c r="M385">
        <v>0</v>
      </c>
      <c r="N385">
        <v>8</v>
      </c>
      <c r="O385">
        <v>0</v>
      </c>
      <c r="P385">
        <v>0</v>
      </c>
      <c r="Q385">
        <v>0</v>
      </c>
      <c r="R385">
        <v>0</v>
      </c>
      <c r="CC385" t="s">
        <v>28</v>
      </c>
      <c r="CD385">
        <v>91</v>
      </c>
    </row>
    <row r="386" spans="1:82" x14ac:dyDescent="0.25">
      <c r="A386">
        <v>387</v>
      </c>
      <c r="B386" t="s">
        <v>122</v>
      </c>
      <c r="C386" t="s">
        <v>123</v>
      </c>
      <c r="D386" t="s">
        <v>20</v>
      </c>
      <c r="E386" t="s">
        <v>54</v>
      </c>
      <c r="F386" t="s">
        <v>71</v>
      </c>
      <c r="G386" t="s">
        <v>374</v>
      </c>
      <c r="H386">
        <v>2024</v>
      </c>
      <c r="I386">
        <v>10</v>
      </c>
      <c r="J386" t="s">
        <v>105</v>
      </c>
      <c r="K386" t="s">
        <v>52</v>
      </c>
      <c r="L386" t="s">
        <v>45</v>
      </c>
      <c r="M386">
        <v>1</v>
      </c>
      <c r="N386">
        <v>8</v>
      </c>
      <c r="O386">
        <v>0</v>
      </c>
      <c r="P386">
        <v>0</v>
      </c>
      <c r="Q386">
        <v>0</v>
      </c>
      <c r="R386">
        <v>0</v>
      </c>
      <c r="CC386" t="s">
        <v>123</v>
      </c>
      <c r="CD386">
        <v>64</v>
      </c>
    </row>
    <row r="387" spans="1:82" x14ac:dyDescent="0.25">
      <c r="A387">
        <v>388</v>
      </c>
      <c r="B387" t="s">
        <v>27</v>
      </c>
      <c r="C387" t="s">
        <v>28</v>
      </c>
      <c r="D387" t="s">
        <v>20</v>
      </c>
      <c r="E387" t="s">
        <v>54</v>
      </c>
      <c r="F387" t="s">
        <v>30</v>
      </c>
      <c r="G387" t="s">
        <v>375</v>
      </c>
      <c r="H387">
        <v>2024</v>
      </c>
      <c r="I387">
        <v>9</v>
      </c>
      <c r="J387" t="s">
        <v>24</v>
      </c>
      <c r="K387" t="s">
        <v>25</v>
      </c>
      <c r="L387" t="s">
        <v>45</v>
      </c>
      <c r="M387">
        <v>1</v>
      </c>
      <c r="N387">
        <v>8</v>
      </c>
      <c r="O387">
        <v>0</v>
      </c>
      <c r="P387">
        <v>0</v>
      </c>
      <c r="Q387">
        <v>0</v>
      </c>
      <c r="R387">
        <v>0</v>
      </c>
      <c r="CC387" t="s">
        <v>28</v>
      </c>
      <c r="CD387">
        <v>70</v>
      </c>
    </row>
    <row r="388" spans="1:82" x14ac:dyDescent="0.25">
      <c r="A388">
        <v>389</v>
      </c>
      <c r="B388" t="s">
        <v>65</v>
      </c>
      <c r="C388" t="s">
        <v>66</v>
      </c>
      <c r="D388" t="s">
        <v>36</v>
      </c>
      <c r="E388" t="s">
        <v>54</v>
      </c>
      <c r="F388" t="s">
        <v>38</v>
      </c>
      <c r="G388" t="s">
        <v>376</v>
      </c>
      <c r="H388">
        <v>2025</v>
      </c>
      <c r="I388">
        <v>12</v>
      </c>
      <c r="J388" t="s">
        <v>51</v>
      </c>
      <c r="K388" t="s">
        <v>52</v>
      </c>
      <c r="L388" t="s">
        <v>85</v>
      </c>
      <c r="M388">
        <v>0</v>
      </c>
      <c r="N388">
        <v>8</v>
      </c>
      <c r="O388">
        <v>0</v>
      </c>
      <c r="P388">
        <v>0</v>
      </c>
      <c r="Q388">
        <v>0</v>
      </c>
      <c r="R388">
        <v>0</v>
      </c>
      <c r="CC388" t="s">
        <v>66</v>
      </c>
      <c r="CD388">
        <v>67</v>
      </c>
    </row>
    <row r="389" spans="1:82" x14ac:dyDescent="0.25">
      <c r="A389">
        <v>390</v>
      </c>
      <c r="B389" t="s">
        <v>57</v>
      </c>
      <c r="C389" t="s">
        <v>58</v>
      </c>
      <c r="D389" t="s">
        <v>36</v>
      </c>
      <c r="E389" t="s">
        <v>49</v>
      </c>
      <c r="F389" t="s">
        <v>59</v>
      </c>
      <c r="G389" t="s">
        <v>377</v>
      </c>
      <c r="H389">
        <v>2024</v>
      </c>
      <c r="I389">
        <v>11</v>
      </c>
      <c r="J389" t="s">
        <v>74</v>
      </c>
      <c r="K389" t="s">
        <v>52</v>
      </c>
      <c r="L389" t="s">
        <v>26</v>
      </c>
      <c r="M389">
        <v>0</v>
      </c>
      <c r="N389">
        <v>8</v>
      </c>
      <c r="O389">
        <v>1</v>
      </c>
      <c r="P389">
        <v>3</v>
      </c>
      <c r="Q389">
        <v>85</v>
      </c>
      <c r="R389">
        <v>6</v>
      </c>
      <c r="CC389" t="s">
        <v>58</v>
      </c>
      <c r="CD389">
        <v>68</v>
      </c>
    </row>
    <row r="390" spans="1:82" x14ac:dyDescent="0.25">
      <c r="A390">
        <v>391</v>
      </c>
      <c r="B390" t="s">
        <v>18</v>
      </c>
      <c r="C390" t="s">
        <v>19</v>
      </c>
      <c r="D390" t="s">
        <v>20</v>
      </c>
      <c r="E390" t="s">
        <v>49</v>
      </c>
      <c r="F390" t="s">
        <v>22</v>
      </c>
      <c r="G390" t="s">
        <v>195</v>
      </c>
      <c r="H390">
        <v>2025</v>
      </c>
      <c r="I390">
        <v>1</v>
      </c>
      <c r="J390" t="s">
        <v>68</v>
      </c>
      <c r="K390" t="s">
        <v>41</v>
      </c>
      <c r="L390" t="s">
        <v>33</v>
      </c>
      <c r="M390">
        <v>0</v>
      </c>
      <c r="N390">
        <v>8</v>
      </c>
      <c r="O390">
        <v>1</v>
      </c>
      <c r="P390">
        <v>3</v>
      </c>
      <c r="Q390">
        <v>83</v>
      </c>
      <c r="R390">
        <v>5</v>
      </c>
      <c r="CC390" t="s">
        <v>19</v>
      </c>
      <c r="CD390">
        <v>86</v>
      </c>
    </row>
    <row r="391" spans="1:82" x14ac:dyDescent="0.25">
      <c r="A391">
        <v>392</v>
      </c>
      <c r="B391" t="s">
        <v>27</v>
      </c>
      <c r="C391" t="s">
        <v>28</v>
      </c>
      <c r="D391" t="s">
        <v>20</v>
      </c>
      <c r="E391" t="s">
        <v>29</v>
      </c>
      <c r="F391" t="s">
        <v>30</v>
      </c>
      <c r="G391" t="s">
        <v>378</v>
      </c>
      <c r="H391">
        <v>2025</v>
      </c>
      <c r="I391">
        <v>1</v>
      </c>
      <c r="J391" t="s">
        <v>68</v>
      </c>
      <c r="K391" t="s">
        <v>41</v>
      </c>
      <c r="L391" t="s">
        <v>77</v>
      </c>
      <c r="M391">
        <v>0</v>
      </c>
      <c r="N391">
        <v>8</v>
      </c>
      <c r="O391">
        <v>1</v>
      </c>
      <c r="P391">
        <v>1</v>
      </c>
      <c r="Q391">
        <v>93</v>
      </c>
      <c r="R391">
        <v>0</v>
      </c>
      <c r="CC391" t="s">
        <v>28</v>
      </c>
      <c r="CD391">
        <v>82</v>
      </c>
    </row>
    <row r="392" spans="1:82" x14ac:dyDescent="0.25">
      <c r="A392">
        <v>393</v>
      </c>
      <c r="B392" t="s">
        <v>69</v>
      </c>
      <c r="C392" t="s">
        <v>70</v>
      </c>
      <c r="D392" t="s">
        <v>36</v>
      </c>
      <c r="E392" t="s">
        <v>49</v>
      </c>
      <c r="F392" t="s">
        <v>71</v>
      </c>
      <c r="G392" t="s">
        <v>379</v>
      </c>
      <c r="H392">
        <v>2024</v>
      </c>
      <c r="I392">
        <v>12</v>
      </c>
      <c r="J392" t="s">
        <v>51</v>
      </c>
      <c r="K392" t="s">
        <v>52</v>
      </c>
      <c r="L392" t="s">
        <v>61</v>
      </c>
      <c r="M392">
        <v>0</v>
      </c>
      <c r="N392">
        <v>8</v>
      </c>
      <c r="O392">
        <v>1</v>
      </c>
      <c r="P392">
        <v>1</v>
      </c>
      <c r="Q392">
        <v>91</v>
      </c>
      <c r="R392">
        <v>9</v>
      </c>
      <c r="CC392" t="s">
        <v>70</v>
      </c>
      <c r="CD392">
        <v>85</v>
      </c>
    </row>
    <row r="393" spans="1:82" x14ac:dyDescent="0.25">
      <c r="A393">
        <v>394</v>
      </c>
      <c r="B393" t="s">
        <v>122</v>
      </c>
      <c r="C393" t="s">
        <v>123</v>
      </c>
      <c r="D393" t="s">
        <v>20</v>
      </c>
      <c r="E393" t="s">
        <v>49</v>
      </c>
      <c r="F393" t="s">
        <v>71</v>
      </c>
      <c r="G393" t="s">
        <v>380</v>
      </c>
      <c r="H393">
        <v>2025</v>
      </c>
      <c r="I393">
        <v>11</v>
      </c>
      <c r="J393" t="s">
        <v>74</v>
      </c>
      <c r="K393" t="s">
        <v>52</v>
      </c>
      <c r="L393" t="s">
        <v>26</v>
      </c>
      <c r="M393">
        <v>0</v>
      </c>
      <c r="N393">
        <v>8</v>
      </c>
      <c r="O393">
        <v>0</v>
      </c>
      <c r="P393">
        <v>0</v>
      </c>
      <c r="Q393">
        <v>0</v>
      </c>
      <c r="R393">
        <v>0</v>
      </c>
      <c r="CC393" t="s">
        <v>123</v>
      </c>
      <c r="CD393">
        <v>90</v>
      </c>
    </row>
    <row r="394" spans="1:82" x14ac:dyDescent="0.25">
      <c r="A394">
        <v>395</v>
      </c>
      <c r="B394" t="s">
        <v>122</v>
      </c>
      <c r="C394" t="s">
        <v>123</v>
      </c>
      <c r="D394" t="s">
        <v>20</v>
      </c>
      <c r="E394" t="s">
        <v>54</v>
      </c>
      <c r="F394" t="s">
        <v>71</v>
      </c>
      <c r="G394" t="s">
        <v>325</v>
      </c>
      <c r="H394">
        <v>2025</v>
      </c>
      <c r="I394">
        <v>12</v>
      </c>
      <c r="J394" t="s">
        <v>51</v>
      </c>
      <c r="K394" t="s">
        <v>52</v>
      </c>
      <c r="L394" t="s">
        <v>53</v>
      </c>
      <c r="M394">
        <v>1</v>
      </c>
      <c r="N394">
        <v>8</v>
      </c>
      <c r="O394">
        <v>1</v>
      </c>
      <c r="P394">
        <v>3</v>
      </c>
      <c r="Q394">
        <v>87</v>
      </c>
      <c r="R394">
        <v>3</v>
      </c>
      <c r="CC394" t="s">
        <v>123</v>
      </c>
      <c r="CD394">
        <v>85</v>
      </c>
    </row>
    <row r="395" spans="1:82" x14ac:dyDescent="0.25">
      <c r="A395">
        <v>396</v>
      </c>
      <c r="B395" t="s">
        <v>79</v>
      </c>
      <c r="C395" t="s">
        <v>80</v>
      </c>
      <c r="D395" t="s">
        <v>20</v>
      </c>
      <c r="E395" t="s">
        <v>49</v>
      </c>
      <c r="F395" t="s">
        <v>81</v>
      </c>
      <c r="G395" t="s">
        <v>381</v>
      </c>
      <c r="H395">
        <v>2024</v>
      </c>
      <c r="I395">
        <v>6</v>
      </c>
      <c r="J395" t="s">
        <v>76</v>
      </c>
      <c r="K395" t="s">
        <v>48</v>
      </c>
      <c r="L395" t="s">
        <v>61</v>
      </c>
      <c r="M395">
        <v>0</v>
      </c>
      <c r="N395">
        <v>8</v>
      </c>
      <c r="O395">
        <v>0</v>
      </c>
      <c r="P395">
        <v>0</v>
      </c>
      <c r="Q395">
        <v>0</v>
      </c>
      <c r="R395">
        <v>0</v>
      </c>
      <c r="CC395" t="s">
        <v>80</v>
      </c>
      <c r="CD395">
        <v>95</v>
      </c>
    </row>
    <row r="396" spans="1:82" x14ac:dyDescent="0.25">
      <c r="A396">
        <v>397</v>
      </c>
      <c r="B396" t="s">
        <v>122</v>
      </c>
      <c r="C396" t="s">
        <v>123</v>
      </c>
      <c r="D396" t="s">
        <v>20</v>
      </c>
      <c r="E396" t="s">
        <v>49</v>
      </c>
      <c r="F396" t="s">
        <v>71</v>
      </c>
      <c r="G396" t="s">
        <v>294</v>
      </c>
      <c r="H396">
        <v>2024</v>
      </c>
      <c r="I396">
        <v>12</v>
      </c>
      <c r="J396" t="s">
        <v>51</v>
      </c>
      <c r="K396" t="s">
        <v>52</v>
      </c>
      <c r="L396" t="s">
        <v>45</v>
      </c>
      <c r="M396">
        <v>1</v>
      </c>
      <c r="N396">
        <v>8</v>
      </c>
      <c r="O396">
        <v>1</v>
      </c>
      <c r="P396">
        <v>1</v>
      </c>
      <c r="Q396">
        <v>67</v>
      </c>
      <c r="R396">
        <v>4</v>
      </c>
      <c r="CC396" t="s">
        <v>123</v>
      </c>
      <c r="CD396">
        <v>90</v>
      </c>
    </row>
    <row r="397" spans="1:82" x14ac:dyDescent="0.25">
      <c r="A397">
        <v>398</v>
      </c>
      <c r="B397" t="s">
        <v>34</v>
      </c>
      <c r="C397" t="s">
        <v>35</v>
      </c>
      <c r="D397" t="s">
        <v>36</v>
      </c>
      <c r="E397" t="s">
        <v>54</v>
      </c>
      <c r="F397" t="s">
        <v>38</v>
      </c>
      <c r="G397" t="s">
        <v>281</v>
      </c>
      <c r="H397">
        <v>2024</v>
      </c>
      <c r="I397">
        <v>1</v>
      </c>
      <c r="J397" t="s">
        <v>68</v>
      </c>
      <c r="K397" t="s">
        <v>41</v>
      </c>
      <c r="L397" t="s">
        <v>77</v>
      </c>
      <c r="M397">
        <v>0</v>
      </c>
      <c r="N397">
        <v>8</v>
      </c>
      <c r="O397">
        <v>0</v>
      </c>
      <c r="P397">
        <v>0</v>
      </c>
      <c r="Q397">
        <v>0</v>
      </c>
      <c r="R397">
        <v>0</v>
      </c>
      <c r="CC397" t="s">
        <v>35</v>
      </c>
      <c r="CD397">
        <v>82</v>
      </c>
    </row>
    <row r="398" spans="1:82" x14ac:dyDescent="0.25">
      <c r="A398">
        <v>399</v>
      </c>
      <c r="B398" t="s">
        <v>57</v>
      </c>
      <c r="C398" t="s">
        <v>58</v>
      </c>
      <c r="D398" t="s">
        <v>36</v>
      </c>
      <c r="E398" t="s">
        <v>21</v>
      </c>
      <c r="F398" t="s">
        <v>59</v>
      </c>
      <c r="G398" t="s">
        <v>382</v>
      </c>
      <c r="H398">
        <v>2024</v>
      </c>
      <c r="I398">
        <v>8</v>
      </c>
      <c r="J398" t="s">
        <v>107</v>
      </c>
      <c r="K398" t="s">
        <v>25</v>
      </c>
      <c r="L398" t="s">
        <v>61</v>
      </c>
      <c r="M398">
        <v>0</v>
      </c>
      <c r="N398">
        <v>8</v>
      </c>
      <c r="O398">
        <v>0</v>
      </c>
      <c r="P398">
        <v>0</v>
      </c>
      <c r="Q398">
        <v>0</v>
      </c>
      <c r="R398">
        <v>0</v>
      </c>
      <c r="CC398" t="s">
        <v>58</v>
      </c>
      <c r="CD398">
        <v>75</v>
      </c>
    </row>
    <row r="399" spans="1:82" x14ac:dyDescent="0.25">
      <c r="A399">
        <v>400</v>
      </c>
      <c r="B399" t="s">
        <v>65</v>
      </c>
      <c r="C399" t="s">
        <v>66</v>
      </c>
      <c r="D399" t="s">
        <v>36</v>
      </c>
      <c r="E399" t="s">
        <v>37</v>
      </c>
      <c r="F399" t="s">
        <v>38</v>
      </c>
      <c r="G399" t="s">
        <v>383</v>
      </c>
      <c r="H399">
        <v>2024</v>
      </c>
      <c r="I399">
        <v>7</v>
      </c>
      <c r="J399" t="s">
        <v>32</v>
      </c>
      <c r="K399" t="s">
        <v>25</v>
      </c>
      <c r="L399" t="s">
        <v>26</v>
      </c>
      <c r="M399">
        <v>0</v>
      </c>
      <c r="N399">
        <v>8</v>
      </c>
      <c r="O399">
        <v>0</v>
      </c>
      <c r="P399">
        <v>0</v>
      </c>
      <c r="Q399">
        <v>0</v>
      </c>
      <c r="R399">
        <v>0</v>
      </c>
      <c r="CC399" t="s">
        <v>66</v>
      </c>
      <c r="CD399">
        <v>83</v>
      </c>
    </row>
    <row r="400" spans="1:82" x14ac:dyDescent="0.25">
      <c r="A400">
        <v>401</v>
      </c>
      <c r="B400" t="s">
        <v>62</v>
      </c>
      <c r="C400" t="s">
        <v>63</v>
      </c>
      <c r="D400" t="s">
        <v>20</v>
      </c>
      <c r="E400" t="s">
        <v>21</v>
      </c>
      <c r="F400" t="s">
        <v>38</v>
      </c>
      <c r="G400" t="s">
        <v>384</v>
      </c>
      <c r="H400">
        <v>2025</v>
      </c>
      <c r="I400">
        <v>7</v>
      </c>
      <c r="J400" t="s">
        <v>32</v>
      </c>
      <c r="K400" t="s">
        <v>25</v>
      </c>
      <c r="L400" t="s">
        <v>33</v>
      </c>
      <c r="M400">
        <v>0</v>
      </c>
      <c r="N400">
        <v>8</v>
      </c>
      <c r="O400">
        <v>0</v>
      </c>
      <c r="P400">
        <v>0</v>
      </c>
      <c r="Q400">
        <v>0</v>
      </c>
      <c r="R400">
        <v>0</v>
      </c>
      <c r="CC400" t="s">
        <v>63</v>
      </c>
      <c r="CD400">
        <v>69</v>
      </c>
    </row>
    <row r="401" spans="1:82" x14ac:dyDescent="0.25">
      <c r="A401">
        <v>402</v>
      </c>
      <c r="B401" t="s">
        <v>122</v>
      </c>
      <c r="C401" t="s">
        <v>123</v>
      </c>
      <c r="D401" t="s">
        <v>20</v>
      </c>
      <c r="E401" t="s">
        <v>49</v>
      </c>
      <c r="F401" t="s">
        <v>71</v>
      </c>
      <c r="G401" t="s">
        <v>385</v>
      </c>
      <c r="H401">
        <v>2024</v>
      </c>
      <c r="I401">
        <v>4</v>
      </c>
      <c r="J401" t="s">
        <v>89</v>
      </c>
      <c r="K401" t="s">
        <v>48</v>
      </c>
      <c r="L401" t="s">
        <v>53</v>
      </c>
      <c r="M401">
        <v>1</v>
      </c>
      <c r="N401">
        <v>8</v>
      </c>
      <c r="O401">
        <v>1</v>
      </c>
      <c r="P401">
        <v>0</v>
      </c>
      <c r="Q401">
        <v>79</v>
      </c>
      <c r="R401">
        <v>5</v>
      </c>
      <c r="CC401" t="s">
        <v>123</v>
      </c>
      <c r="CD401">
        <v>79</v>
      </c>
    </row>
    <row r="402" spans="1:82" x14ac:dyDescent="0.25">
      <c r="A402">
        <v>403</v>
      </c>
      <c r="B402" t="s">
        <v>27</v>
      </c>
      <c r="C402" t="s">
        <v>28</v>
      </c>
      <c r="D402" t="s">
        <v>20</v>
      </c>
      <c r="E402" t="s">
        <v>54</v>
      </c>
      <c r="F402" t="s">
        <v>30</v>
      </c>
      <c r="G402" t="s">
        <v>386</v>
      </c>
      <c r="H402">
        <v>2024</v>
      </c>
      <c r="I402">
        <v>8</v>
      </c>
      <c r="J402" t="s">
        <v>107</v>
      </c>
      <c r="K402" t="s">
        <v>25</v>
      </c>
      <c r="L402" t="s">
        <v>77</v>
      </c>
      <c r="M402">
        <v>0</v>
      </c>
      <c r="N402">
        <v>8</v>
      </c>
      <c r="O402">
        <v>0</v>
      </c>
      <c r="P402">
        <v>0</v>
      </c>
      <c r="Q402">
        <v>0</v>
      </c>
      <c r="R402">
        <v>0</v>
      </c>
      <c r="CC402" t="s">
        <v>28</v>
      </c>
      <c r="CD402">
        <v>70</v>
      </c>
    </row>
    <row r="403" spans="1:82" x14ac:dyDescent="0.25">
      <c r="A403">
        <v>404</v>
      </c>
      <c r="B403" t="s">
        <v>34</v>
      </c>
      <c r="C403" t="s">
        <v>35</v>
      </c>
      <c r="D403" t="s">
        <v>36</v>
      </c>
      <c r="E403" t="s">
        <v>49</v>
      </c>
      <c r="F403" t="s">
        <v>38</v>
      </c>
      <c r="G403" t="s">
        <v>292</v>
      </c>
      <c r="H403">
        <v>2024</v>
      </c>
      <c r="I403">
        <v>12</v>
      </c>
      <c r="J403" t="s">
        <v>51</v>
      </c>
      <c r="K403" t="s">
        <v>52</v>
      </c>
      <c r="L403" t="s">
        <v>85</v>
      </c>
      <c r="M403">
        <v>0</v>
      </c>
      <c r="N403">
        <v>8</v>
      </c>
      <c r="O403">
        <v>1</v>
      </c>
      <c r="P403">
        <v>2</v>
      </c>
      <c r="Q403">
        <v>69</v>
      </c>
      <c r="R403">
        <v>4</v>
      </c>
      <c r="CC403" t="s">
        <v>35</v>
      </c>
      <c r="CD403">
        <v>77</v>
      </c>
    </row>
    <row r="404" spans="1:82" x14ac:dyDescent="0.25">
      <c r="A404">
        <v>405</v>
      </c>
      <c r="B404" t="s">
        <v>62</v>
      </c>
      <c r="C404" t="s">
        <v>63</v>
      </c>
      <c r="D404" t="s">
        <v>20</v>
      </c>
      <c r="E404" t="s">
        <v>37</v>
      </c>
      <c r="F404" t="s">
        <v>38</v>
      </c>
      <c r="G404" t="s">
        <v>387</v>
      </c>
      <c r="H404">
        <v>2025</v>
      </c>
      <c r="I404">
        <v>2</v>
      </c>
      <c r="J404" t="s">
        <v>84</v>
      </c>
      <c r="K404" t="s">
        <v>41</v>
      </c>
      <c r="L404" t="s">
        <v>77</v>
      </c>
      <c r="M404">
        <v>0</v>
      </c>
      <c r="N404">
        <v>8</v>
      </c>
      <c r="O404">
        <v>1</v>
      </c>
      <c r="P404">
        <v>3</v>
      </c>
      <c r="Q404">
        <v>71</v>
      </c>
      <c r="R404">
        <v>0</v>
      </c>
      <c r="CC404" t="s">
        <v>63</v>
      </c>
      <c r="CD404">
        <v>79</v>
      </c>
    </row>
    <row r="405" spans="1:82" x14ac:dyDescent="0.25">
      <c r="A405">
        <v>406</v>
      </c>
      <c r="B405" t="s">
        <v>27</v>
      </c>
      <c r="C405" t="s">
        <v>28</v>
      </c>
      <c r="D405" t="s">
        <v>20</v>
      </c>
      <c r="E405" t="s">
        <v>49</v>
      </c>
      <c r="F405" t="s">
        <v>30</v>
      </c>
      <c r="G405" t="s">
        <v>388</v>
      </c>
      <c r="H405">
        <v>2024</v>
      </c>
      <c r="I405">
        <v>12</v>
      </c>
      <c r="J405" t="s">
        <v>51</v>
      </c>
      <c r="K405" t="s">
        <v>52</v>
      </c>
      <c r="L405" t="s">
        <v>53</v>
      </c>
      <c r="M405">
        <v>1</v>
      </c>
      <c r="N405">
        <v>8</v>
      </c>
      <c r="O405">
        <v>0</v>
      </c>
      <c r="P405">
        <v>0</v>
      </c>
      <c r="Q405">
        <v>0</v>
      </c>
      <c r="R405">
        <v>0</v>
      </c>
      <c r="CC405" t="s">
        <v>28</v>
      </c>
      <c r="CD405">
        <v>72</v>
      </c>
    </row>
    <row r="406" spans="1:82" x14ac:dyDescent="0.25">
      <c r="A406">
        <v>407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G406" t="s">
        <v>389</v>
      </c>
      <c r="H406">
        <v>2024</v>
      </c>
      <c r="I406">
        <v>4</v>
      </c>
      <c r="J406" t="s">
        <v>89</v>
      </c>
      <c r="K406" t="s">
        <v>48</v>
      </c>
      <c r="L406" t="s">
        <v>45</v>
      </c>
      <c r="M406">
        <v>1</v>
      </c>
      <c r="N406">
        <v>8</v>
      </c>
      <c r="O406">
        <v>0</v>
      </c>
      <c r="P406">
        <v>0</v>
      </c>
      <c r="Q406">
        <v>0</v>
      </c>
      <c r="R406">
        <v>0</v>
      </c>
      <c r="CC406" t="s">
        <v>19</v>
      </c>
      <c r="CD406">
        <v>68</v>
      </c>
    </row>
    <row r="407" spans="1:82" x14ac:dyDescent="0.25">
      <c r="A407">
        <v>408</v>
      </c>
      <c r="B407" t="s">
        <v>27</v>
      </c>
      <c r="C407" t="s">
        <v>28</v>
      </c>
      <c r="D407" t="s">
        <v>20</v>
      </c>
      <c r="E407" t="s">
        <v>29</v>
      </c>
      <c r="F407" t="s">
        <v>30</v>
      </c>
      <c r="G407" t="s">
        <v>390</v>
      </c>
      <c r="H407">
        <v>2024</v>
      </c>
      <c r="I407">
        <v>5</v>
      </c>
      <c r="J407" t="s">
        <v>47</v>
      </c>
      <c r="K407" t="s">
        <v>48</v>
      </c>
      <c r="L407" t="s">
        <v>61</v>
      </c>
      <c r="M407">
        <v>0</v>
      </c>
      <c r="N407">
        <v>8</v>
      </c>
      <c r="O407">
        <v>1</v>
      </c>
      <c r="P407">
        <v>2</v>
      </c>
      <c r="Q407">
        <v>61</v>
      </c>
      <c r="R407">
        <v>8</v>
      </c>
      <c r="CC407" t="s">
        <v>28</v>
      </c>
      <c r="CD407">
        <v>61</v>
      </c>
    </row>
    <row r="408" spans="1:82" x14ac:dyDescent="0.25">
      <c r="A408">
        <v>409</v>
      </c>
      <c r="B408" t="s">
        <v>57</v>
      </c>
      <c r="C408" t="s">
        <v>58</v>
      </c>
      <c r="D408" t="s">
        <v>36</v>
      </c>
      <c r="E408" t="s">
        <v>37</v>
      </c>
      <c r="F408" t="s">
        <v>59</v>
      </c>
      <c r="G408" t="s">
        <v>173</v>
      </c>
      <c r="H408">
        <v>2025</v>
      </c>
      <c r="I408">
        <v>7</v>
      </c>
      <c r="J408" t="s">
        <v>32</v>
      </c>
      <c r="K408" t="s">
        <v>25</v>
      </c>
      <c r="L408" t="s">
        <v>61</v>
      </c>
      <c r="M408">
        <v>0</v>
      </c>
      <c r="N408">
        <v>8</v>
      </c>
      <c r="O408">
        <v>0</v>
      </c>
      <c r="P408">
        <v>0</v>
      </c>
      <c r="Q408">
        <v>0</v>
      </c>
      <c r="R408">
        <v>0</v>
      </c>
      <c r="CC408" t="s">
        <v>58</v>
      </c>
      <c r="CD408">
        <v>85</v>
      </c>
    </row>
    <row r="409" spans="1:82" x14ac:dyDescent="0.25">
      <c r="A409">
        <v>410</v>
      </c>
      <c r="B409" t="s">
        <v>18</v>
      </c>
      <c r="C409" t="s">
        <v>19</v>
      </c>
      <c r="D409" t="s">
        <v>20</v>
      </c>
      <c r="E409" t="s">
        <v>49</v>
      </c>
      <c r="F409" t="s">
        <v>22</v>
      </c>
      <c r="G409" t="s">
        <v>361</v>
      </c>
      <c r="H409">
        <v>2025</v>
      </c>
      <c r="I409">
        <v>10</v>
      </c>
      <c r="J409" t="s">
        <v>105</v>
      </c>
      <c r="K409" t="s">
        <v>52</v>
      </c>
      <c r="L409" t="s">
        <v>33</v>
      </c>
      <c r="M409">
        <v>0</v>
      </c>
      <c r="N409">
        <v>8</v>
      </c>
      <c r="O409">
        <v>1</v>
      </c>
      <c r="P409">
        <v>1</v>
      </c>
      <c r="Q409">
        <v>81</v>
      </c>
      <c r="R409">
        <v>1</v>
      </c>
      <c r="CC409" t="s">
        <v>19</v>
      </c>
      <c r="CD409">
        <v>65</v>
      </c>
    </row>
    <row r="410" spans="1:82" x14ac:dyDescent="0.25">
      <c r="A410">
        <v>411</v>
      </c>
      <c r="B410" t="s">
        <v>34</v>
      </c>
      <c r="C410" t="s">
        <v>35</v>
      </c>
      <c r="D410" t="s">
        <v>36</v>
      </c>
      <c r="E410" t="s">
        <v>54</v>
      </c>
      <c r="F410" t="s">
        <v>38</v>
      </c>
      <c r="G410" t="s">
        <v>64</v>
      </c>
      <c r="H410">
        <v>2025</v>
      </c>
      <c r="I410">
        <v>12</v>
      </c>
      <c r="J410" t="s">
        <v>51</v>
      </c>
      <c r="K410" t="s">
        <v>52</v>
      </c>
      <c r="L410" t="s">
        <v>45</v>
      </c>
      <c r="M410">
        <v>1</v>
      </c>
      <c r="N410">
        <v>8</v>
      </c>
      <c r="O410">
        <v>1</v>
      </c>
      <c r="P410">
        <v>1</v>
      </c>
      <c r="Q410">
        <v>73</v>
      </c>
      <c r="R410">
        <v>0</v>
      </c>
      <c r="CC410" t="s">
        <v>35</v>
      </c>
      <c r="CD410">
        <v>80</v>
      </c>
    </row>
    <row r="411" spans="1:82" x14ac:dyDescent="0.25">
      <c r="A411">
        <v>412</v>
      </c>
      <c r="B411" t="s">
        <v>18</v>
      </c>
      <c r="C411" t="s">
        <v>19</v>
      </c>
      <c r="D411" t="s">
        <v>20</v>
      </c>
      <c r="E411" t="s">
        <v>21</v>
      </c>
      <c r="F411" t="s">
        <v>22</v>
      </c>
      <c r="G411" t="s">
        <v>391</v>
      </c>
      <c r="H411">
        <v>2025</v>
      </c>
      <c r="I411">
        <v>12</v>
      </c>
      <c r="J411" t="s">
        <v>51</v>
      </c>
      <c r="K411" t="s">
        <v>52</v>
      </c>
      <c r="L411" t="s">
        <v>85</v>
      </c>
      <c r="M411">
        <v>0</v>
      </c>
      <c r="N411">
        <v>8</v>
      </c>
      <c r="O411">
        <v>1</v>
      </c>
      <c r="P411">
        <v>0</v>
      </c>
      <c r="Q411">
        <v>74</v>
      </c>
      <c r="R411">
        <v>6</v>
      </c>
      <c r="CC411" t="s">
        <v>19</v>
      </c>
      <c r="CD411">
        <v>71</v>
      </c>
    </row>
    <row r="412" spans="1:82" x14ac:dyDescent="0.25">
      <c r="A412">
        <v>413</v>
      </c>
      <c r="B412" t="s">
        <v>79</v>
      </c>
      <c r="C412" t="s">
        <v>80</v>
      </c>
      <c r="D412" t="s">
        <v>20</v>
      </c>
      <c r="E412" t="s">
        <v>21</v>
      </c>
      <c r="F412" t="s">
        <v>81</v>
      </c>
      <c r="G412" t="s">
        <v>392</v>
      </c>
      <c r="H412">
        <v>2024</v>
      </c>
      <c r="I412">
        <v>8</v>
      </c>
      <c r="J412" t="s">
        <v>107</v>
      </c>
      <c r="K412" t="s">
        <v>25</v>
      </c>
      <c r="L412" t="s">
        <v>85</v>
      </c>
      <c r="M412">
        <v>0</v>
      </c>
      <c r="N412">
        <v>8</v>
      </c>
      <c r="O412">
        <v>0</v>
      </c>
      <c r="P412">
        <v>0</v>
      </c>
      <c r="Q412">
        <v>0</v>
      </c>
      <c r="R412">
        <v>0</v>
      </c>
      <c r="CC412" t="s">
        <v>80</v>
      </c>
      <c r="CD412">
        <v>92</v>
      </c>
    </row>
    <row r="413" spans="1:82" x14ac:dyDescent="0.25">
      <c r="A413">
        <v>414</v>
      </c>
      <c r="B413" t="s">
        <v>27</v>
      </c>
      <c r="C413" t="s">
        <v>28</v>
      </c>
      <c r="D413" t="s">
        <v>20</v>
      </c>
      <c r="E413" t="s">
        <v>21</v>
      </c>
      <c r="F413" t="s">
        <v>30</v>
      </c>
      <c r="G413" t="s">
        <v>393</v>
      </c>
      <c r="H413">
        <v>2024</v>
      </c>
      <c r="I413">
        <v>7</v>
      </c>
      <c r="J413" t="s">
        <v>32</v>
      </c>
      <c r="K413" t="s">
        <v>25</v>
      </c>
      <c r="L413" t="s">
        <v>26</v>
      </c>
      <c r="M413">
        <v>0</v>
      </c>
      <c r="N413">
        <v>8</v>
      </c>
      <c r="O413">
        <v>0</v>
      </c>
      <c r="P413">
        <v>0</v>
      </c>
      <c r="Q413">
        <v>0</v>
      </c>
      <c r="R413">
        <v>0</v>
      </c>
      <c r="CC413" t="s">
        <v>28</v>
      </c>
      <c r="CD413">
        <v>75</v>
      </c>
    </row>
    <row r="414" spans="1:82" x14ac:dyDescent="0.25">
      <c r="A414">
        <v>415</v>
      </c>
      <c r="B414" t="s">
        <v>62</v>
      </c>
      <c r="C414" t="s">
        <v>63</v>
      </c>
      <c r="D414" t="s">
        <v>20</v>
      </c>
      <c r="E414" t="s">
        <v>37</v>
      </c>
      <c r="F414" t="s">
        <v>38</v>
      </c>
      <c r="G414" t="s">
        <v>94</v>
      </c>
      <c r="H414">
        <v>2024</v>
      </c>
      <c r="I414">
        <v>9</v>
      </c>
      <c r="J414" t="s">
        <v>24</v>
      </c>
      <c r="K414" t="s">
        <v>25</v>
      </c>
      <c r="L414" t="s">
        <v>85</v>
      </c>
      <c r="M414">
        <v>0</v>
      </c>
      <c r="N414">
        <v>8</v>
      </c>
      <c r="O414">
        <v>0</v>
      </c>
      <c r="P414">
        <v>0</v>
      </c>
      <c r="Q414">
        <v>0</v>
      </c>
      <c r="R414">
        <v>0</v>
      </c>
      <c r="CC414" t="s">
        <v>63</v>
      </c>
      <c r="CD414">
        <v>60</v>
      </c>
    </row>
    <row r="415" spans="1:82" x14ac:dyDescent="0.25">
      <c r="A415">
        <v>416</v>
      </c>
      <c r="B415" t="s">
        <v>69</v>
      </c>
      <c r="C415" t="s">
        <v>70</v>
      </c>
      <c r="D415" t="s">
        <v>36</v>
      </c>
      <c r="E415" t="s">
        <v>21</v>
      </c>
      <c r="F415" t="s">
        <v>71</v>
      </c>
      <c r="G415" t="s">
        <v>218</v>
      </c>
      <c r="H415">
        <v>2024</v>
      </c>
      <c r="I415">
        <v>8</v>
      </c>
      <c r="J415" t="s">
        <v>107</v>
      </c>
      <c r="K415" t="s">
        <v>25</v>
      </c>
      <c r="L415" t="s">
        <v>77</v>
      </c>
      <c r="M415">
        <v>0</v>
      </c>
      <c r="N415">
        <v>8</v>
      </c>
      <c r="O415">
        <v>1</v>
      </c>
      <c r="P415">
        <v>2</v>
      </c>
      <c r="Q415">
        <v>87</v>
      </c>
      <c r="R415">
        <v>3</v>
      </c>
      <c r="CC415" t="s">
        <v>70</v>
      </c>
      <c r="CD415">
        <v>95</v>
      </c>
    </row>
    <row r="416" spans="1:82" x14ac:dyDescent="0.25">
      <c r="A416">
        <v>417</v>
      </c>
      <c r="B416" t="s">
        <v>57</v>
      </c>
      <c r="C416" t="s">
        <v>58</v>
      </c>
      <c r="D416" t="s">
        <v>36</v>
      </c>
      <c r="E416" t="s">
        <v>29</v>
      </c>
      <c r="F416" t="s">
        <v>59</v>
      </c>
      <c r="G416" t="s">
        <v>187</v>
      </c>
      <c r="H416">
        <v>2025</v>
      </c>
      <c r="I416">
        <v>12</v>
      </c>
      <c r="J416" t="s">
        <v>51</v>
      </c>
      <c r="K416" t="s">
        <v>52</v>
      </c>
      <c r="L416" t="s">
        <v>61</v>
      </c>
      <c r="M416">
        <v>0</v>
      </c>
      <c r="N416">
        <v>8</v>
      </c>
      <c r="O416">
        <v>0</v>
      </c>
      <c r="P416">
        <v>0</v>
      </c>
      <c r="Q416">
        <v>0</v>
      </c>
      <c r="R416">
        <v>0</v>
      </c>
      <c r="CC416" t="s">
        <v>58</v>
      </c>
      <c r="CD416">
        <v>83</v>
      </c>
    </row>
    <row r="417" spans="1:82" x14ac:dyDescent="0.25">
      <c r="A417">
        <v>418</v>
      </c>
      <c r="B417" t="s">
        <v>18</v>
      </c>
      <c r="C417" t="s">
        <v>19</v>
      </c>
      <c r="D417" t="s">
        <v>20</v>
      </c>
      <c r="E417" t="s">
        <v>29</v>
      </c>
      <c r="F417" t="s">
        <v>22</v>
      </c>
      <c r="G417" t="s">
        <v>394</v>
      </c>
      <c r="H417">
        <v>2025</v>
      </c>
      <c r="I417">
        <v>5</v>
      </c>
      <c r="J417" t="s">
        <v>47</v>
      </c>
      <c r="K417" t="s">
        <v>48</v>
      </c>
      <c r="L417" t="s">
        <v>61</v>
      </c>
      <c r="M417">
        <v>0</v>
      </c>
      <c r="N417">
        <v>8</v>
      </c>
      <c r="O417">
        <v>0</v>
      </c>
      <c r="P417">
        <v>0</v>
      </c>
      <c r="Q417">
        <v>0</v>
      </c>
      <c r="R417">
        <v>0</v>
      </c>
      <c r="CC417" t="s">
        <v>19</v>
      </c>
      <c r="CD417">
        <v>69</v>
      </c>
    </row>
    <row r="418" spans="1:82" x14ac:dyDescent="0.25">
      <c r="A418">
        <v>419</v>
      </c>
      <c r="B418" t="s">
        <v>34</v>
      </c>
      <c r="C418" t="s">
        <v>35</v>
      </c>
      <c r="D418" t="s">
        <v>36</v>
      </c>
      <c r="E418" t="s">
        <v>49</v>
      </c>
      <c r="F418" t="s">
        <v>38</v>
      </c>
      <c r="G418" t="s">
        <v>375</v>
      </c>
      <c r="H418">
        <v>2024</v>
      </c>
      <c r="I418">
        <v>9</v>
      </c>
      <c r="J418" t="s">
        <v>24</v>
      </c>
      <c r="K418" t="s">
        <v>25</v>
      </c>
      <c r="L418" t="s">
        <v>45</v>
      </c>
      <c r="M418">
        <v>1</v>
      </c>
      <c r="N418">
        <v>8</v>
      </c>
      <c r="O418">
        <v>0</v>
      </c>
      <c r="P418">
        <v>0</v>
      </c>
      <c r="Q418">
        <v>0</v>
      </c>
      <c r="R418">
        <v>0</v>
      </c>
      <c r="CC418" t="s">
        <v>35</v>
      </c>
      <c r="CD418">
        <v>81</v>
      </c>
    </row>
    <row r="419" spans="1:82" x14ac:dyDescent="0.25">
      <c r="A419">
        <v>420</v>
      </c>
      <c r="B419" t="s">
        <v>42</v>
      </c>
      <c r="C419" t="s">
        <v>43</v>
      </c>
      <c r="D419" t="s">
        <v>36</v>
      </c>
      <c r="E419" t="s">
        <v>49</v>
      </c>
      <c r="F419" t="s">
        <v>22</v>
      </c>
      <c r="G419" t="s">
        <v>182</v>
      </c>
      <c r="H419">
        <v>2025</v>
      </c>
      <c r="I419">
        <v>7</v>
      </c>
      <c r="J419" t="s">
        <v>32</v>
      </c>
      <c r="K419" t="s">
        <v>25</v>
      </c>
      <c r="L419" t="s">
        <v>33</v>
      </c>
      <c r="M419">
        <v>0</v>
      </c>
      <c r="N419">
        <v>8</v>
      </c>
      <c r="O419">
        <v>0</v>
      </c>
      <c r="P419">
        <v>0</v>
      </c>
      <c r="Q419">
        <v>0</v>
      </c>
      <c r="R419">
        <v>0</v>
      </c>
      <c r="CC419" t="s">
        <v>43</v>
      </c>
      <c r="CD419">
        <v>87</v>
      </c>
    </row>
    <row r="420" spans="1:82" x14ac:dyDescent="0.25">
      <c r="A420">
        <v>421</v>
      </c>
      <c r="B420" t="s">
        <v>18</v>
      </c>
      <c r="C420" t="s">
        <v>19</v>
      </c>
      <c r="D420" t="s">
        <v>20</v>
      </c>
      <c r="E420" t="s">
        <v>49</v>
      </c>
      <c r="F420" t="s">
        <v>22</v>
      </c>
      <c r="G420" t="s">
        <v>395</v>
      </c>
      <c r="H420">
        <v>2024</v>
      </c>
      <c r="I420">
        <v>6</v>
      </c>
      <c r="J420" t="s">
        <v>76</v>
      </c>
      <c r="K420" t="s">
        <v>48</v>
      </c>
      <c r="L420" t="s">
        <v>85</v>
      </c>
      <c r="M420">
        <v>0</v>
      </c>
      <c r="N420">
        <v>8</v>
      </c>
      <c r="O420">
        <v>0</v>
      </c>
      <c r="P420">
        <v>0</v>
      </c>
      <c r="Q420">
        <v>0</v>
      </c>
      <c r="R420">
        <v>0</v>
      </c>
      <c r="CC420" t="s">
        <v>19</v>
      </c>
      <c r="CD420">
        <v>85</v>
      </c>
    </row>
    <row r="421" spans="1:82" x14ac:dyDescent="0.25">
      <c r="A421">
        <v>422</v>
      </c>
      <c r="B421" t="s">
        <v>34</v>
      </c>
      <c r="C421" t="s">
        <v>35</v>
      </c>
      <c r="D421" t="s">
        <v>36</v>
      </c>
      <c r="E421" t="s">
        <v>21</v>
      </c>
      <c r="F421" t="s">
        <v>38</v>
      </c>
      <c r="G421" t="s">
        <v>221</v>
      </c>
      <c r="H421">
        <v>2024</v>
      </c>
      <c r="I421">
        <v>5</v>
      </c>
      <c r="J421" t="s">
        <v>47</v>
      </c>
      <c r="K421" t="s">
        <v>48</v>
      </c>
      <c r="L421" t="s">
        <v>61</v>
      </c>
      <c r="M421">
        <v>0</v>
      </c>
      <c r="N421">
        <v>8</v>
      </c>
      <c r="O421">
        <v>0</v>
      </c>
      <c r="P421">
        <v>0</v>
      </c>
      <c r="Q421">
        <v>0</v>
      </c>
      <c r="R421">
        <v>0</v>
      </c>
      <c r="CC421" t="s">
        <v>35</v>
      </c>
      <c r="CD421">
        <v>95</v>
      </c>
    </row>
    <row r="422" spans="1:82" x14ac:dyDescent="0.25">
      <c r="A422">
        <v>423</v>
      </c>
      <c r="B422" t="s">
        <v>79</v>
      </c>
      <c r="C422" t="s">
        <v>80</v>
      </c>
      <c r="D422" t="s">
        <v>20</v>
      </c>
      <c r="E422" t="s">
        <v>54</v>
      </c>
      <c r="F422" t="s">
        <v>81</v>
      </c>
      <c r="G422" t="s">
        <v>297</v>
      </c>
      <c r="H422">
        <v>2024</v>
      </c>
      <c r="I422">
        <v>5</v>
      </c>
      <c r="J422" t="s">
        <v>47</v>
      </c>
      <c r="K422" t="s">
        <v>48</v>
      </c>
      <c r="L422" t="s">
        <v>53</v>
      </c>
      <c r="M422">
        <v>1</v>
      </c>
      <c r="N422">
        <v>8</v>
      </c>
      <c r="O422">
        <v>0</v>
      </c>
      <c r="P422">
        <v>0</v>
      </c>
      <c r="Q422">
        <v>0</v>
      </c>
      <c r="R422">
        <v>0</v>
      </c>
      <c r="CC422" t="s">
        <v>80</v>
      </c>
      <c r="CD422">
        <v>60</v>
      </c>
    </row>
    <row r="423" spans="1:82" x14ac:dyDescent="0.25">
      <c r="A423">
        <v>424</v>
      </c>
      <c r="B423" t="s">
        <v>27</v>
      </c>
      <c r="C423" t="s">
        <v>28</v>
      </c>
      <c r="D423" t="s">
        <v>20</v>
      </c>
      <c r="E423" t="s">
        <v>49</v>
      </c>
      <c r="F423" t="s">
        <v>30</v>
      </c>
      <c r="G423" t="s">
        <v>396</v>
      </c>
      <c r="H423">
        <v>2025</v>
      </c>
      <c r="I423">
        <v>5</v>
      </c>
      <c r="J423" t="s">
        <v>47</v>
      </c>
      <c r="K423" t="s">
        <v>48</v>
      </c>
      <c r="L423" t="s">
        <v>45</v>
      </c>
      <c r="M423">
        <v>1</v>
      </c>
      <c r="N423">
        <v>8</v>
      </c>
      <c r="O423">
        <v>1</v>
      </c>
      <c r="P423">
        <v>2</v>
      </c>
      <c r="Q423">
        <v>65</v>
      </c>
      <c r="R423">
        <v>6</v>
      </c>
      <c r="CC423" t="s">
        <v>28</v>
      </c>
      <c r="CD423">
        <v>80</v>
      </c>
    </row>
    <row r="424" spans="1:82" x14ac:dyDescent="0.25">
      <c r="A424">
        <v>425</v>
      </c>
      <c r="B424" t="s">
        <v>69</v>
      </c>
      <c r="C424" t="s">
        <v>70</v>
      </c>
      <c r="D424" t="s">
        <v>36</v>
      </c>
      <c r="E424" t="s">
        <v>49</v>
      </c>
      <c r="F424" t="s">
        <v>71</v>
      </c>
      <c r="G424" t="s">
        <v>185</v>
      </c>
      <c r="H424">
        <v>2025</v>
      </c>
      <c r="I424">
        <v>11</v>
      </c>
      <c r="J424" t="s">
        <v>74</v>
      </c>
      <c r="K424" t="s">
        <v>52</v>
      </c>
      <c r="L424" t="s">
        <v>85</v>
      </c>
      <c r="M424">
        <v>0</v>
      </c>
      <c r="N424">
        <v>8</v>
      </c>
      <c r="O424">
        <v>0</v>
      </c>
      <c r="P424">
        <v>0</v>
      </c>
      <c r="Q424">
        <v>0</v>
      </c>
      <c r="R424">
        <v>0</v>
      </c>
      <c r="CC424" t="s">
        <v>70</v>
      </c>
      <c r="CD424">
        <v>81</v>
      </c>
    </row>
    <row r="425" spans="1:82" x14ac:dyDescent="0.25">
      <c r="A425">
        <v>426</v>
      </c>
      <c r="B425" t="s">
        <v>18</v>
      </c>
      <c r="C425" t="s">
        <v>19</v>
      </c>
      <c r="D425" t="s">
        <v>20</v>
      </c>
      <c r="E425" t="s">
        <v>49</v>
      </c>
      <c r="F425" t="s">
        <v>22</v>
      </c>
      <c r="G425" t="s">
        <v>379</v>
      </c>
      <c r="H425">
        <v>2024</v>
      </c>
      <c r="I425">
        <v>12</v>
      </c>
      <c r="J425" t="s">
        <v>51</v>
      </c>
      <c r="K425" t="s">
        <v>52</v>
      </c>
      <c r="L425" t="s">
        <v>61</v>
      </c>
      <c r="M425">
        <v>0</v>
      </c>
      <c r="N425">
        <v>8</v>
      </c>
      <c r="O425">
        <v>0</v>
      </c>
      <c r="P425">
        <v>0</v>
      </c>
      <c r="Q425">
        <v>0</v>
      </c>
      <c r="R425">
        <v>0</v>
      </c>
      <c r="CC425" t="s">
        <v>19</v>
      </c>
      <c r="CD425">
        <v>60</v>
      </c>
    </row>
    <row r="426" spans="1:82" x14ac:dyDescent="0.25">
      <c r="A426">
        <v>427</v>
      </c>
      <c r="B426" t="s">
        <v>79</v>
      </c>
      <c r="C426" t="s">
        <v>80</v>
      </c>
      <c r="D426" t="s">
        <v>20</v>
      </c>
      <c r="E426" t="s">
        <v>37</v>
      </c>
      <c r="F426" t="s">
        <v>81</v>
      </c>
      <c r="G426" t="s">
        <v>397</v>
      </c>
      <c r="H426">
        <v>2025</v>
      </c>
      <c r="I426">
        <v>8</v>
      </c>
      <c r="J426" t="s">
        <v>107</v>
      </c>
      <c r="K426" t="s">
        <v>25</v>
      </c>
      <c r="L426" t="s">
        <v>26</v>
      </c>
      <c r="M426">
        <v>0</v>
      </c>
      <c r="N426">
        <v>8</v>
      </c>
      <c r="O426">
        <v>0</v>
      </c>
      <c r="P426">
        <v>0</v>
      </c>
      <c r="Q426">
        <v>0</v>
      </c>
      <c r="R426">
        <v>0</v>
      </c>
      <c r="CC426" t="s">
        <v>80</v>
      </c>
      <c r="CD426">
        <v>71</v>
      </c>
    </row>
    <row r="427" spans="1:82" x14ac:dyDescent="0.25">
      <c r="A427">
        <v>428</v>
      </c>
      <c r="B427" t="s">
        <v>69</v>
      </c>
      <c r="C427" t="s">
        <v>70</v>
      </c>
      <c r="D427" t="s">
        <v>36</v>
      </c>
      <c r="E427" t="s">
        <v>49</v>
      </c>
      <c r="F427" t="s">
        <v>71</v>
      </c>
      <c r="G427" t="s">
        <v>398</v>
      </c>
      <c r="H427">
        <v>2024</v>
      </c>
      <c r="I427">
        <v>2</v>
      </c>
      <c r="J427" t="s">
        <v>84</v>
      </c>
      <c r="K427" t="s">
        <v>41</v>
      </c>
      <c r="L427" t="s">
        <v>53</v>
      </c>
      <c r="M427">
        <v>1</v>
      </c>
      <c r="N427">
        <v>8</v>
      </c>
      <c r="O427">
        <v>1</v>
      </c>
      <c r="P427">
        <v>0</v>
      </c>
      <c r="Q427">
        <v>62</v>
      </c>
      <c r="R427">
        <v>1</v>
      </c>
      <c r="CC427" t="s">
        <v>70</v>
      </c>
      <c r="CD427">
        <v>90</v>
      </c>
    </row>
    <row r="428" spans="1:82" x14ac:dyDescent="0.25">
      <c r="A428">
        <v>429</v>
      </c>
      <c r="B428" t="s">
        <v>79</v>
      </c>
      <c r="C428" t="s">
        <v>80</v>
      </c>
      <c r="D428" t="s">
        <v>20</v>
      </c>
      <c r="E428" t="s">
        <v>29</v>
      </c>
      <c r="F428" t="s">
        <v>81</v>
      </c>
      <c r="G428" t="s">
        <v>359</v>
      </c>
      <c r="H428">
        <v>2025</v>
      </c>
      <c r="I428">
        <v>7</v>
      </c>
      <c r="J428" t="s">
        <v>32</v>
      </c>
      <c r="K428" t="s">
        <v>25</v>
      </c>
      <c r="L428" t="s">
        <v>45</v>
      </c>
      <c r="M428">
        <v>1</v>
      </c>
      <c r="N428">
        <v>8</v>
      </c>
      <c r="O428">
        <v>0</v>
      </c>
      <c r="P428">
        <v>0</v>
      </c>
      <c r="Q428">
        <v>0</v>
      </c>
      <c r="R428">
        <v>0</v>
      </c>
      <c r="CC428" t="s">
        <v>80</v>
      </c>
      <c r="CD428">
        <v>79</v>
      </c>
    </row>
    <row r="429" spans="1:82" x14ac:dyDescent="0.25">
      <c r="A429">
        <v>430</v>
      </c>
      <c r="B429" t="s">
        <v>122</v>
      </c>
      <c r="C429" t="s">
        <v>123</v>
      </c>
      <c r="D429" t="s">
        <v>20</v>
      </c>
      <c r="E429" t="s">
        <v>54</v>
      </c>
      <c r="F429" t="s">
        <v>71</v>
      </c>
      <c r="G429" t="s">
        <v>238</v>
      </c>
      <c r="H429">
        <v>2024</v>
      </c>
      <c r="I429">
        <v>8</v>
      </c>
      <c r="J429" t="s">
        <v>107</v>
      </c>
      <c r="K429" t="s">
        <v>25</v>
      </c>
      <c r="L429" t="s">
        <v>85</v>
      </c>
      <c r="M429">
        <v>0</v>
      </c>
      <c r="N429">
        <v>8</v>
      </c>
      <c r="O429">
        <v>1</v>
      </c>
      <c r="P429">
        <v>2</v>
      </c>
      <c r="Q429">
        <v>73</v>
      </c>
      <c r="R429">
        <v>2</v>
      </c>
      <c r="CC429" t="s">
        <v>123</v>
      </c>
      <c r="CD429">
        <v>83</v>
      </c>
    </row>
    <row r="430" spans="1:82" x14ac:dyDescent="0.25">
      <c r="A430">
        <v>431</v>
      </c>
      <c r="B430" t="s">
        <v>65</v>
      </c>
      <c r="C430" t="s">
        <v>66</v>
      </c>
      <c r="D430" t="s">
        <v>36</v>
      </c>
      <c r="E430" t="s">
        <v>49</v>
      </c>
      <c r="F430" t="s">
        <v>38</v>
      </c>
      <c r="G430" t="s">
        <v>399</v>
      </c>
      <c r="H430">
        <v>2025</v>
      </c>
      <c r="I430">
        <v>10</v>
      </c>
      <c r="J430" t="s">
        <v>105</v>
      </c>
      <c r="K430" t="s">
        <v>52</v>
      </c>
      <c r="L430" t="s">
        <v>26</v>
      </c>
      <c r="M430">
        <v>0</v>
      </c>
      <c r="N430">
        <v>8</v>
      </c>
      <c r="O430">
        <v>0</v>
      </c>
      <c r="P430">
        <v>0</v>
      </c>
      <c r="Q430">
        <v>0</v>
      </c>
      <c r="R430">
        <v>0</v>
      </c>
      <c r="CC430" t="s">
        <v>66</v>
      </c>
      <c r="CD430">
        <v>67</v>
      </c>
    </row>
    <row r="431" spans="1:82" x14ac:dyDescent="0.25">
      <c r="A431">
        <v>432</v>
      </c>
      <c r="B431" t="s">
        <v>69</v>
      </c>
      <c r="C431" t="s">
        <v>70</v>
      </c>
      <c r="D431" t="s">
        <v>36</v>
      </c>
      <c r="E431" t="s">
        <v>29</v>
      </c>
      <c r="F431" t="s">
        <v>71</v>
      </c>
      <c r="G431" t="s">
        <v>400</v>
      </c>
      <c r="H431">
        <v>2024</v>
      </c>
      <c r="I431">
        <v>8</v>
      </c>
      <c r="J431" t="s">
        <v>107</v>
      </c>
      <c r="K431" t="s">
        <v>25</v>
      </c>
      <c r="L431" t="s">
        <v>33</v>
      </c>
      <c r="M431">
        <v>0</v>
      </c>
      <c r="N431">
        <v>8</v>
      </c>
      <c r="O431">
        <v>0</v>
      </c>
      <c r="P431">
        <v>0</v>
      </c>
      <c r="Q431">
        <v>0</v>
      </c>
      <c r="R431">
        <v>0</v>
      </c>
      <c r="CC431" t="s">
        <v>70</v>
      </c>
      <c r="CD431">
        <v>86</v>
      </c>
    </row>
    <row r="432" spans="1:82" x14ac:dyDescent="0.25">
      <c r="A432">
        <v>433</v>
      </c>
      <c r="B432" t="s">
        <v>69</v>
      </c>
      <c r="C432" t="s">
        <v>70</v>
      </c>
      <c r="D432" t="s">
        <v>36</v>
      </c>
      <c r="E432" t="s">
        <v>37</v>
      </c>
      <c r="F432" t="s">
        <v>71</v>
      </c>
      <c r="G432" t="s">
        <v>401</v>
      </c>
      <c r="H432">
        <v>2025</v>
      </c>
      <c r="I432">
        <v>2</v>
      </c>
      <c r="J432" t="s">
        <v>84</v>
      </c>
      <c r="K432" t="s">
        <v>41</v>
      </c>
      <c r="L432" t="s">
        <v>77</v>
      </c>
      <c r="M432">
        <v>0</v>
      </c>
      <c r="N432">
        <v>8</v>
      </c>
      <c r="O432">
        <v>0</v>
      </c>
      <c r="P432">
        <v>0</v>
      </c>
      <c r="Q432">
        <v>0</v>
      </c>
      <c r="R432">
        <v>0</v>
      </c>
      <c r="CC432" t="s">
        <v>70</v>
      </c>
      <c r="CD432">
        <v>71</v>
      </c>
    </row>
    <row r="433" spans="1:82" x14ac:dyDescent="0.25">
      <c r="A433">
        <v>434</v>
      </c>
      <c r="B433" t="s">
        <v>79</v>
      </c>
      <c r="C433" t="s">
        <v>80</v>
      </c>
      <c r="D433" t="s">
        <v>20</v>
      </c>
      <c r="E433" t="s">
        <v>54</v>
      </c>
      <c r="F433" t="s">
        <v>81</v>
      </c>
      <c r="G433" t="s">
        <v>402</v>
      </c>
      <c r="H433">
        <v>2024</v>
      </c>
      <c r="I433">
        <v>6</v>
      </c>
      <c r="J433" t="s">
        <v>76</v>
      </c>
      <c r="K433" t="s">
        <v>48</v>
      </c>
      <c r="L433" t="s">
        <v>85</v>
      </c>
      <c r="M433">
        <v>0</v>
      </c>
      <c r="N433">
        <v>8</v>
      </c>
      <c r="O433">
        <v>1</v>
      </c>
      <c r="P433">
        <v>0</v>
      </c>
      <c r="Q433">
        <v>65</v>
      </c>
      <c r="R433">
        <v>10</v>
      </c>
      <c r="CC433" t="s">
        <v>80</v>
      </c>
      <c r="CD433">
        <v>94</v>
      </c>
    </row>
    <row r="434" spans="1:82" x14ac:dyDescent="0.25">
      <c r="A434">
        <v>435</v>
      </c>
      <c r="B434" t="s">
        <v>34</v>
      </c>
      <c r="C434" t="s">
        <v>35</v>
      </c>
      <c r="D434" t="s">
        <v>36</v>
      </c>
      <c r="E434" t="s">
        <v>54</v>
      </c>
      <c r="F434" t="s">
        <v>38</v>
      </c>
      <c r="G434" t="s">
        <v>403</v>
      </c>
      <c r="H434">
        <v>2025</v>
      </c>
      <c r="I434">
        <v>7</v>
      </c>
      <c r="J434" t="s">
        <v>32</v>
      </c>
      <c r="K434" t="s">
        <v>25</v>
      </c>
      <c r="L434" t="s">
        <v>85</v>
      </c>
      <c r="M434">
        <v>0</v>
      </c>
      <c r="N434">
        <v>8</v>
      </c>
      <c r="O434">
        <v>1</v>
      </c>
      <c r="P434">
        <v>1</v>
      </c>
      <c r="Q434">
        <v>83</v>
      </c>
      <c r="R434">
        <v>9</v>
      </c>
      <c r="CC434" t="s">
        <v>35</v>
      </c>
      <c r="CD434">
        <v>82</v>
      </c>
    </row>
    <row r="435" spans="1:82" x14ac:dyDescent="0.25">
      <c r="A435">
        <v>436</v>
      </c>
      <c r="B435" t="s">
        <v>18</v>
      </c>
      <c r="C435" t="s">
        <v>19</v>
      </c>
      <c r="D435" t="s">
        <v>20</v>
      </c>
      <c r="E435" t="s">
        <v>37</v>
      </c>
      <c r="F435" t="s">
        <v>22</v>
      </c>
      <c r="G435" t="s">
        <v>154</v>
      </c>
      <c r="H435">
        <v>2024</v>
      </c>
      <c r="I435">
        <v>9</v>
      </c>
      <c r="J435" t="s">
        <v>24</v>
      </c>
      <c r="K435" t="s">
        <v>25</v>
      </c>
      <c r="L435" t="s">
        <v>45</v>
      </c>
      <c r="M435">
        <v>1</v>
      </c>
      <c r="N435">
        <v>8</v>
      </c>
      <c r="O435">
        <v>0</v>
      </c>
      <c r="P435">
        <v>0</v>
      </c>
      <c r="Q435">
        <v>0</v>
      </c>
      <c r="R435">
        <v>0</v>
      </c>
      <c r="CC435" t="s">
        <v>19</v>
      </c>
      <c r="CD435">
        <v>91</v>
      </c>
    </row>
    <row r="436" spans="1:82" x14ac:dyDescent="0.25">
      <c r="A436">
        <v>437</v>
      </c>
      <c r="B436" t="s">
        <v>27</v>
      </c>
      <c r="C436" t="s">
        <v>28</v>
      </c>
      <c r="D436" t="s">
        <v>20</v>
      </c>
      <c r="E436" t="s">
        <v>54</v>
      </c>
      <c r="F436" t="s">
        <v>30</v>
      </c>
      <c r="G436" t="s">
        <v>283</v>
      </c>
      <c r="H436">
        <v>2024</v>
      </c>
      <c r="I436">
        <v>11</v>
      </c>
      <c r="J436" t="s">
        <v>74</v>
      </c>
      <c r="K436" t="s">
        <v>52</v>
      </c>
      <c r="L436" t="s">
        <v>33</v>
      </c>
      <c r="M436">
        <v>0</v>
      </c>
      <c r="N436">
        <v>8</v>
      </c>
      <c r="O436">
        <v>0</v>
      </c>
      <c r="P436">
        <v>0</v>
      </c>
      <c r="Q436">
        <v>0</v>
      </c>
      <c r="R436">
        <v>0</v>
      </c>
      <c r="CC436" t="s">
        <v>28</v>
      </c>
      <c r="CD436">
        <v>61</v>
      </c>
    </row>
    <row r="437" spans="1:82" x14ac:dyDescent="0.25">
      <c r="A437">
        <v>438</v>
      </c>
      <c r="B437" t="s">
        <v>34</v>
      </c>
      <c r="C437" t="s">
        <v>35</v>
      </c>
      <c r="D437" t="s">
        <v>36</v>
      </c>
      <c r="E437" t="s">
        <v>54</v>
      </c>
      <c r="F437" t="s">
        <v>38</v>
      </c>
      <c r="G437" t="s">
        <v>404</v>
      </c>
      <c r="H437">
        <v>2025</v>
      </c>
      <c r="I437">
        <v>12</v>
      </c>
      <c r="J437" t="s">
        <v>51</v>
      </c>
      <c r="K437" t="s">
        <v>52</v>
      </c>
      <c r="L437" t="s">
        <v>61</v>
      </c>
      <c r="M437">
        <v>0</v>
      </c>
      <c r="N437">
        <v>8</v>
      </c>
      <c r="O437">
        <v>1</v>
      </c>
      <c r="P437">
        <v>3</v>
      </c>
      <c r="Q437">
        <v>86</v>
      </c>
      <c r="R437">
        <v>10</v>
      </c>
      <c r="CC437" t="s">
        <v>35</v>
      </c>
      <c r="CD437">
        <v>82</v>
      </c>
    </row>
    <row r="438" spans="1:82" x14ac:dyDescent="0.25">
      <c r="A438">
        <v>439</v>
      </c>
      <c r="B438" t="s">
        <v>18</v>
      </c>
      <c r="C438" t="s">
        <v>19</v>
      </c>
      <c r="D438" t="s">
        <v>20</v>
      </c>
      <c r="E438" t="s">
        <v>29</v>
      </c>
      <c r="F438" t="s">
        <v>22</v>
      </c>
      <c r="G438" t="s">
        <v>337</v>
      </c>
      <c r="H438">
        <v>2025</v>
      </c>
      <c r="I438">
        <v>10</v>
      </c>
      <c r="J438" t="s">
        <v>105</v>
      </c>
      <c r="K438" t="s">
        <v>52</v>
      </c>
      <c r="L438" t="s">
        <v>85</v>
      </c>
      <c r="M438">
        <v>0</v>
      </c>
      <c r="N438">
        <v>8</v>
      </c>
      <c r="O438">
        <v>1</v>
      </c>
      <c r="P438">
        <v>3</v>
      </c>
      <c r="Q438">
        <v>74</v>
      </c>
      <c r="R438">
        <v>10</v>
      </c>
      <c r="CC438" t="s">
        <v>19</v>
      </c>
      <c r="CD438">
        <v>68</v>
      </c>
    </row>
    <row r="439" spans="1:82" x14ac:dyDescent="0.25">
      <c r="A439">
        <v>440</v>
      </c>
      <c r="B439" t="s">
        <v>79</v>
      </c>
      <c r="C439" t="s">
        <v>80</v>
      </c>
      <c r="D439" t="s">
        <v>20</v>
      </c>
      <c r="E439" t="s">
        <v>54</v>
      </c>
      <c r="F439" t="s">
        <v>81</v>
      </c>
      <c r="G439" t="s">
        <v>266</v>
      </c>
      <c r="H439">
        <v>2024</v>
      </c>
      <c r="I439">
        <v>7</v>
      </c>
      <c r="J439" t="s">
        <v>32</v>
      </c>
      <c r="K439" t="s">
        <v>25</v>
      </c>
      <c r="L439" t="s">
        <v>77</v>
      </c>
      <c r="M439">
        <v>0</v>
      </c>
      <c r="N439">
        <v>8</v>
      </c>
      <c r="O439">
        <v>0</v>
      </c>
      <c r="P439">
        <v>0</v>
      </c>
      <c r="Q439">
        <v>0</v>
      </c>
      <c r="R439">
        <v>0</v>
      </c>
      <c r="CC439" t="s">
        <v>80</v>
      </c>
      <c r="CD439">
        <v>75</v>
      </c>
    </row>
    <row r="440" spans="1:82" x14ac:dyDescent="0.25">
      <c r="A440">
        <v>441</v>
      </c>
      <c r="B440" t="s">
        <v>27</v>
      </c>
      <c r="C440" t="s">
        <v>28</v>
      </c>
      <c r="D440" t="s">
        <v>20</v>
      </c>
      <c r="E440" t="s">
        <v>29</v>
      </c>
      <c r="F440" t="s">
        <v>30</v>
      </c>
      <c r="G440" t="s">
        <v>113</v>
      </c>
      <c r="H440">
        <v>2025</v>
      </c>
      <c r="I440">
        <v>6</v>
      </c>
      <c r="J440" t="s">
        <v>76</v>
      </c>
      <c r="K440" t="s">
        <v>48</v>
      </c>
      <c r="L440" t="s">
        <v>85</v>
      </c>
      <c r="M440">
        <v>0</v>
      </c>
      <c r="N440">
        <v>8</v>
      </c>
      <c r="O440">
        <v>0</v>
      </c>
      <c r="P440">
        <v>0</v>
      </c>
      <c r="Q440">
        <v>0</v>
      </c>
      <c r="R440">
        <v>0</v>
      </c>
      <c r="CC440" t="s">
        <v>28</v>
      </c>
      <c r="CD440">
        <v>63</v>
      </c>
    </row>
    <row r="441" spans="1:82" x14ac:dyDescent="0.25">
      <c r="A441">
        <v>442</v>
      </c>
      <c r="B441" t="s">
        <v>34</v>
      </c>
      <c r="C441" t="s">
        <v>35</v>
      </c>
      <c r="D441" t="s">
        <v>36</v>
      </c>
      <c r="E441" t="s">
        <v>37</v>
      </c>
      <c r="F441" t="s">
        <v>38</v>
      </c>
      <c r="G441" t="s">
        <v>405</v>
      </c>
      <c r="H441">
        <v>2025</v>
      </c>
      <c r="I441">
        <v>11</v>
      </c>
      <c r="J441" t="s">
        <v>74</v>
      </c>
      <c r="K441" t="s">
        <v>52</v>
      </c>
      <c r="L441" t="s">
        <v>33</v>
      </c>
      <c r="M441">
        <v>0</v>
      </c>
      <c r="N441">
        <v>8</v>
      </c>
      <c r="O441">
        <v>1</v>
      </c>
      <c r="P441">
        <v>0</v>
      </c>
      <c r="Q441">
        <v>84</v>
      </c>
      <c r="R441">
        <v>8</v>
      </c>
      <c r="CC441" t="s">
        <v>35</v>
      </c>
      <c r="CD441">
        <v>91</v>
      </c>
    </row>
    <row r="442" spans="1:82" x14ac:dyDescent="0.25">
      <c r="A442">
        <v>443</v>
      </c>
      <c r="B442" t="s">
        <v>65</v>
      </c>
      <c r="C442" t="s">
        <v>66</v>
      </c>
      <c r="D442" t="s">
        <v>36</v>
      </c>
      <c r="E442" t="s">
        <v>54</v>
      </c>
      <c r="F442" t="s">
        <v>38</v>
      </c>
      <c r="G442" t="s">
        <v>406</v>
      </c>
      <c r="H442">
        <v>2024</v>
      </c>
      <c r="I442">
        <v>12</v>
      </c>
      <c r="J442" t="s">
        <v>51</v>
      </c>
      <c r="K442" t="s">
        <v>52</v>
      </c>
      <c r="L442" t="s">
        <v>33</v>
      </c>
      <c r="M442">
        <v>0</v>
      </c>
      <c r="N442">
        <v>8</v>
      </c>
      <c r="O442">
        <v>1</v>
      </c>
      <c r="P442">
        <v>3</v>
      </c>
      <c r="Q442">
        <v>82</v>
      </c>
      <c r="R442">
        <v>1</v>
      </c>
      <c r="CC442" t="s">
        <v>66</v>
      </c>
      <c r="CD442">
        <v>94</v>
      </c>
    </row>
    <row r="443" spans="1:82" x14ac:dyDescent="0.25">
      <c r="A443">
        <v>444</v>
      </c>
      <c r="B443" t="s">
        <v>65</v>
      </c>
      <c r="C443" t="s">
        <v>66</v>
      </c>
      <c r="D443" t="s">
        <v>36</v>
      </c>
      <c r="E443" t="s">
        <v>54</v>
      </c>
      <c r="F443" t="s">
        <v>38</v>
      </c>
      <c r="G443" t="s">
        <v>292</v>
      </c>
      <c r="H443">
        <v>2024</v>
      </c>
      <c r="I443">
        <v>12</v>
      </c>
      <c r="J443" t="s">
        <v>51</v>
      </c>
      <c r="K443" t="s">
        <v>52</v>
      </c>
      <c r="L443" t="s">
        <v>85</v>
      </c>
      <c r="M443">
        <v>0</v>
      </c>
      <c r="N443">
        <v>8</v>
      </c>
      <c r="O443">
        <v>1</v>
      </c>
      <c r="P443">
        <v>1</v>
      </c>
      <c r="Q443">
        <v>74</v>
      </c>
      <c r="R443">
        <v>1</v>
      </c>
      <c r="CC443" t="s">
        <v>66</v>
      </c>
      <c r="CD443">
        <v>85</v>
      </c>
    </row>
    <row r="444" spans="1:82" x14ac:dyDescent="0.25">
      <c r="A444">
        <v>445</v>
      </c>
      <c r="B444" t="s">
        <v>34</v>
      </c>
      <c r="C444" t="s">
        <v>35</v>
      </c>
      <c r="D444" t="s">
        <v>36</v>
      </c>
      <c r="E444" t="s">
        <v>37</v>
      </c>
      <c r="F444" t="s">
        <v>38</v>
      </c>
      <c r="G444" t="s">
        <v>220</v>
      </c>
      <c r="H444">
        <v>2025</v>
      </c>
      <c r="I444">
        <v>12</v>
      </c>
      <c r="J444" t="s">
        <v>51</v>
      </c>
      <c r="K444" t="s">
        <v>52</v>
      </c>
      <c r="L444" t="s">
        <v>26</v>
      </c>
      <c r="M444">
        <v>0</v>
      </c>
      <c r="N444">
        <v>8</v>
      </c>
      <c r="O444">
        <v>1</v>
      </c>
      <c r="P444">
        <v>0</v>
      </c>
      <c r="Q444">
        <v>85</v>
      </c>
      <c r="R444">
        <v>0</v>
      </c>
      <c r="CC444" t="s">
        <v>35</v>
      </c>
      <c r="CD444">
        <v>81</v>
      </c>
    </row>
    <row r="445" spans="1:82" x14ac:dyDescent="0.25">
      <c r="A445">
        <v>446</v>
      </c>
      <c r="B445" t="s">
        <v>34</v>
      </c>
      <c r="C445" t="s">
        <v>35</v>
      </c>
      <c r="D445" t="s">
        <v>36</v>
      </c>
      <c r="E445" t="s">
        <v>29</v>
      </c>
      <c r="F445" t="s">
        <v>38</v>
      </c>
      <c r="G445" t="s">
        <v>407</v>
      </c>
      <c r="H445">
        <v>2025</v>
      </c>
      <c r="I445">
        <v>5</v>
      </c>
      <c r="J445" t="s">
        <v>47</v>
      </c>
      <c r="K445" t="s">
        <v>48</v>
      </c>
      <c r="L445" t="s">
        <v>77</v>
      </c>
      <c r="M445">
        <v>0</v>
      </c>
      <c r="N445">
        <v>8</v>
      </c>
      <c r="O445">
        <v>1</v>
      </c>
      <c r="P445">
        <v>1</v>
      </c>
      <c r="Q445">
        <v>86</v>
      </c>
      <c r="R445">
        <v>7</v>
      </c>
      <c r="CC445" t="s">
        <v>35</v>
      </c>
      <c r="CD445">
        <v>70</v>
      </c>
    </row>
    <row r="446" spans="1:82" x14ac:dyDescent="0.25">
      <c r="A446">
        <v>447</v>
      </c>
      <c r="B446" t="s">
        <v>122</v>
      </c>
      <c r="C446" t="s">
        <v>123</v>
      </c>
      <c r="D446" t="s">
        <v>20</v>
      </c>
      <c r="E446" t="s">
        <v>54</v>
      </c>
      <c r="F446" t="s">
        <v>71</v>
      </c>
      <c r="G446" t="s">
        <v>146</v>
      </c>
      <c r="H446">
        <v>2025</v>
      </c>
      <c r="I446">
        <v>5</v>
      </c>
      <c r="J446" t="s">
        <v>47</v>
      </c>
      <c r="K446" t="s">
        <v>48</v>
      </c>
      <c r="L446" t="s">
        <v>77</v>
      </c>
      <c r="M446">
        <v>0</v>
      </c>
      <c r="N446">
        <v>8</v>
      </c>
      <c r="O446">
        <v>0</v>
      </c>
      <c r="P446">
        <v>0</v>
      </c>
      <c r="Q446">
        <v>0</v>
      </c>
      <c r="R446">
        <v>0</v>
      </c>
      <c r="CC446" t="s">
        <v>123</v>
      </c>
      <c r="CD446">
        <v>77</v>
      </c>
    </row>
    <row r="447" spans="1:82" x14ac:dyDescent="0.25">
      <c r="A447">
        <v>448</v>
      </c>
      <c r="B447" t="s">
        <v>65</v>
      </c>
      <c r="C447" t="s">
        <v>66</v>
      </c>
      <c r="D447" t="s">
        <v>36</v>
      </c>
      <c r="E447" t="s">
        <v>29</v>
      </c>
      <c r="F447" t="s">
        <v>38</v>
      </c>
      <c r="G447" t="s">
        <v>408</v>
      </c>
      <c r="H447">
        <v>2025</v>
      </c>
      <c r="I447">
        <v>10</v>
      </c>
      <c r="J447" t="s">
        <v>105</v>
      </c>
      <c r="K447" t="s">
        <v>52</v>
      </c>
      <c r="L447" t="s">
        <v>61</v>
      </c>
      <c r="M447">
        <v>0</v>
      </c>
      <c r="N447">
        <v>8</v>
      </c>
      <c r="O447">
        <v>1</v>
      </c>
      <c r="P447">
        <v>2</v>
      </c>
      <c r="Q447">
        <v>66</v>
      </c>
      <c r="R447">
        <v>3</v>
      </c>
      <c r="CC447" t="s">
        <v>66</v>
      </c>
      <c r="CD447">
        <v>86</v>
      </c>
    </row>
    <row r="448" spans="1:82" x14ac:dyDescent="0.25">
      <c r="A448">
        <v>449</v>
      </c>
      <c r="B448" t="s">
        <v>65</v>
      </c>
      <c r="C448" t="s">
        <v>66</v>
      </c>
      <c r="D448" t="s">
        <v>36</v>
      </c>
      <c r="E448" t="s">
        <v>54</v>
      </c>
      <c r="F448" t="s">
        <v>38</v>
      </c>
      <c r="G448" t="s">
        <v>409</v>
      </c>
      <c r="H448">
        <v>2024</v>
      </c>
      <c r="I448">
        <v>11</v>
      </c>
      <c r="J448" t="s">
        <v>74</v>
      </c>
      <c r="K448" t="s">
        <v>52</v>
      </c>
      <c r="L448" t="s">
        <v>26</v>
      </c>
      <c r="M448">
        <v>0</v>
      </c>
      <c r="N448">
        <v>8</v>
      </c>
      <c r="O448">
        <v>1</v>
      </c>
      <c r="P448">
        <v>0</v>
      </c>
      <c r="Q448">
        <v>93</v>
      </c>
      <c r="R448">
        <v>10</v>
      </c>
      <c r="CC448" t="s">
        <v>66</v>
      </c>
      <c r="CD448">
        <v>69</v>
      </c>
    </row>
    <row r="449" spans="1:82" x14ac:dyDescent="0.25">
      <c r="A449">
        <v>450</v>
      </c>
      <c r="B449" t="s">
        <v>79</v>
      </c>
      <c r="C449" t="s">
        <v>80</v>
      </c>
      <c r="D449" t="s">
        <v>20</v>
      </c>
      <c r="E449" t="s">
        <v>21</v>
      </c>
      <c r="F449" t="s">
        <v>81</v>
      </c>
      <c r="G449" t="s">
        <v>158</v>
      </c>
      <c r="H449">
        <v>2024</v>
      </c>
      <c r="I449">
        <v>12</v>
      </c>
      <c r="J449" t="s">
        <v>51</v>
      </c>
      <c r="K449" t="s">
        <v>52</v>
      </c>
      <c r="L449" t="s">
        <v>61</v>
      </c>
      <c r="M449">
        <v>0</v>
      </c>
      <c r="N449">
        <v>8</v>
      </c>
      <c r="O449">
        <v>1</v>
      </c>
      <c r="P449">
        <v>1</v>
      </c>
      <c r="Q449">
        <v>80</v>
      </c>
      <c r="R449">
        <v>6</v>
      </c>
      <c r="CC449" t="s">
        <v>80</v>
      </c>
      <c r="CD449">
        <v>66</v>
      </c>
    </row>
    <row r="450" spans="1:82" x14ac:dyDescent="0.25">
      <c r="A450">
        <v>451</v>
      </c>
      <c r="B450" t="s">
        <v>62</v>
      </c>
      <c r="C450" t="s">
        <v>63</v>
      </c>
      <c r="D450" t="s">
        <v>20</v>
      </c>
      <c r="E450" t="s">
        <v>54</v>
      </c>
      <c r="F450" t="s">
        <v>38</v>
      </c>
      <c r="G450" t="s">
        <v>146</v>
      </c>
      <c r="H450">
        <v>2025</v>
      </c>
      <c r="I450">
        <v>5</v>
      </c>
      <c r="J450" t="s">
        <v>47</v>
      </c>
      <c r="K450" t="s">
        <v>48</v>
      </c>
      <c r="L450" t="s">
        <v>77</v>
      </c>
      <c r="M450">
        <v>0</v>
      </c>
      <c r="N450">
        <v>8</v>
      </c>
      <c r="O450">
        <v>1</v>
      </c>
      <c r="P450">
        <v>2</v>
      </c>
      <c r="Q450">
        <v>69</v>
      </c>
      <c r="R450">
        <v>5</v>
      </c>
      <c r="CC450" t="s">
        <v>63</v>
      </c>
      <c r="CD450">
        <v>71</v>
      </c>
    </row>
    <row r="451" spans="1:82" x14ac:dyDescent="0.25">
      <c r="A451">
        <v>452</v>
      </c>
      <c r="B451" t="s">
        <v>27</v>
      </c>
      <c r="C451" t="s">
        <v>28</v>
      </c>
      <c r="D451" t="s">
        <v>20</v>
      </c>
      <c r="E451" t="s">
        <v>29</v>
      </c>
      <c r="F451" t="s">
        <v>30</v>
      </c>
      <c r="G451" t="s">
        <v>410</v>
      </c>
      <c r="H451">
        <v>2024</v>
      </c>
      <c r="I451">
        <v>10</v>
      </c>
      <c r="J451" t="s">
        <v>105</v>
      </c>
      <c r="K451" t="s">
        <v>52</v>
      </c>
      <c r="L451" t="s">
        <v>85</v>
      </c>
      <c r="M451">
        <v>0</v>
      </c>
      <c r="N451">
        <v>8</v>
      </c>
      <c r="O451">
        <v>1</v>
      </c>
      <c r="P451">
        <v>1</v>
      </c>
      <c r="Q451">
        <v>77</v>
      </c>
      <c r="R451">
        <v>1</v>
      </c>
      <c r="CC451" t="s">
        <v>28</v>
      </c>
      <c r="CD451">
        <v>85</v>
      </c>
    </row>
    <row r="452" spans="1:82" x14ac:dyDescent="0.25">
      <c r="A452">
        <v>453</v>
      </c>
      <c r="B452" t="s">
        <v>34</v>
      </c>
      <c r="C452" t="s">
        <v>35</v>
      </c>
      <c r="D452" t="s">
        <v>36</v>
      </c>
      <c r="E452" t="s">
        <v>21</v>
      </c>
      <c r="F452" t="s">
        <v>38</v>
      </c>
      <c r="G452" t="s">
        <v>411</v>
      </c>
      <c r="H452">
        <v>2025</v>
      </c>
      <c r="I452">
        <v>6</v>
      </c>
      <c r="J452" t="s">
        <v>76</v>
      </c>
      <c r="K452" t="s">
        <v>48</v>
      </c>
      <c r="L452" t="s">
        <v>33</v>
      </c>
      <c r="M452">
        <v>0</v>
      </c>
      <c r="N452">
        <v>8</v>
      </c>
      <c r="O452">
        <v>1</v>
      </c>
      <c r="P452">
        <v>1</v>
      </c>
      <c r="Q452">
        <v>67</v>
      </c>
      <c r="R452">
        <v>9</v>
      </c>
      <c r="CC452" t="s">
        <v>35</v>
      </c>
      <c r="CD452">
        <v>67</v>
      </c>
    </row>
    <row r="453" spans="1:82" x14ac:dyDescent="0.25">
      <c r="A453">
        <v>454</v>
      </c>
      <c r="B453" t="s">
        <v>65</v>
      </c>
      <c r="C453" t="s">
        <v>66</v>
      </c>
      <c r="D453" t="s">
        <v>36</v>
      </c>
      <c r="E453" t="s">
        <v>49</v>
      </c>
      <c r="F453" t="s">
        <v>38</v>
      </c>
      <c r="G453" t="s">
        <v>412</v>
      </c>
      <c r="H453">
        <v>2025</v>
      </c>
      <c r="I453">
        <v>12</v>
      </c>
      <c r="J453" t="s">
        <v>51</v>
      </c>
      <c r="K453" t="s">
        <v>52</v>
      </c>
      <c r="L453" t="s">
        <v>53</v>
      </c>
      <c r="M453">
        <v>1</v>
      </c>
      <c r="N453">
        <v>8</v>
      </c>
      <c r="O453">
        <v>0</v>
      </c>
      <c r="P453">
        <v>0</v>
      </c>
      <c r="Q453">
        <v>0</v>
      </c>
      <c r="R453">
        <v>0</v>
      </c>
      <c r="CC453" t="s">
        <v>66</v>
      </c>
      <c r="CD453">
        <v>90</v>
      </c>
    </row>
    <row r="454" spans="1:82" x14ac:dyDescent="0.25">
      <c r="A454">
        <v>455</v>
      </c>
      <c r="B454" t="s">
        <v>65</v>
      </c>
      <c r="C454" t="s">
        <v>66</v>
      </c>
      <c r="D454" t="s">
        <v>36</v>
      </c>
      <c r="E454" t="s">
        <v>54</v>
      </c>
      <c r="F454" t="s">
        <v>38</v>
      </c>
      <c r="G454" t="s">
        <v>219</v>
      </c>
      <c r="H454">
        <v>2024</v>
      </c>
      <c r="I454">
        <v>2</v>
      </c>
      <c r="J454" t="s">
        <v>84</v>
      </c>
      <c r="K454" t="s">
        <v>41</v>
      </c>
      <c r="L454" t="s">
        <v>33</v>
      </c>
      <c r="M454">
        <v>0</v>
      </c>
      <c r="N454">
        <v>8</v>
      </c>
      <c r="O454">
        <v>0</v>
      </c>
      <c r="P454">
        <v>0</v>
      </c>
      <c r="Q454">
        <v>0</v>
      </c>
      <c r="R454">
        <v>0</v>
      </c>
      <c r="CC454" t="s">
        <v>66</v>
      </c>
      <c r="CD454">
        <v>63</v>
      </c>
    </row>
    <row r="455" spans="1:82" x14ac:dyDescent="0.25">
      <c r="A455">
        <v>456</v>
      </c>
      <c r="B455" t="s">
        <v>57</v>
      </c>
      <c r="C455" t="s">
        <v>58</v>
      </c>
      <c r="D455" t="s">
        <v>36</v>
      </c>
      <c r="E455" t="s">
        <v>37</v>
      </c>
      <c r="F455" t="s">
        <v>59</v>
      </c>
      <c r="G455" t="s">
        <v>413</v>
      </c>
      <c r="H455">
        <v>2024</v>
      </c>
      <c r="I455">
        <v>2</v>
      </c>
      <c r="J455" t="s">
        <v>84</v>
      </c>
      <c r="K455" t="s">
        <v>41</v>
      </c>
      <c r="L455" t="s">
        <v>33</v>
      </c>
      <c r="M455">
        <v>0</v>
      </c>
      <c r="N455">
        <v>8</v>
      </c>
      <c r="O455">
        <v>0</v>
      </c>
      <c r="P455">
        <v>0</v>
      </c>
      <c r="Q455">
        <v>0</v>
      </c>
      <c r="R455">
        <v>0</v>
      </c>
      <c r="CC455" t="s">
        <v>58</v>
      </c>
      <c r="CD455">
        <v>81</v>
      </c>
    </row>
    <row r="456" spans="1:82" x14ac:dyDescent="0.25">
      <c r="A456">
        <v>457</v>
      </c>
      <c r="B456" t="s">
        <v>27</v>
      </c>
      <c r="C456" t="s">
        <v>28</v>
      </c>
      <c r="D456" t="s">
        <v>20</v>
      </c>
      <c r="E456" t="s">
        <v>54</v>
      </c>
      <c r="F456" t="s">
        <v>30</v>
      </c>
      <c r="G456" t="s">
        <v>372</v>
      </c>
      <c r="H456">
        <v>2025</v>
      </c>
      <c r="I456">
        <v>10</v>
      </c>
      <c r="J456" t="s">
        <v>105</v>
      </c>
      <c r="K456" t="s">
        <v>52</v>
      </c>
      <c r="L456" t="s">
        <v>45</v>
      </c>
      <c r="M456">
        <v>1</v>
      </c>
      <c r="N456">
        <v>8</v>
      </c>
      <c r="O456">
        <v>1</v>
      </c>
      <c r="P456">
        <v>0</v>
      </c>
      <c r="Q456">
        <v>60</v>
      </c>
      <c r="R456">
        <v>10</v>
      </c>
      <c r="CC456" t="s">
        <v>28</v>
      </c>
      <c r="CD456">
        <v>83</v>
      </c>
    </row>
    <row r="457" spans="1:82" x14ac:dyDescent="0.25">
      <c r="A457">
        <v>458</v>
      </c>
      <c r="B457" t="s">
        <v>18</v>
      </c>
      <c r="C457" t="s">
        <v>19</v>
      </c>
      <c r="D457" t="s">
        <v>20</v>
      </c>
      <c r="E457" t="s">
        <v>21</v>
      </c>
      <c r="F457" t="s">
        <v>22</v>
      </c>
      <c r="G457" t="s">
        <v>260</v>
      </c>
      <c r="H457">
        <v>2024</v>
      </c>
      <c r="I457">
        <v>12</v>
      </c>
      <c r="J457" t="s">
        <v>51</v>
      </c>
      <c r="K457" t="s">
        <v>52</v>
      </c>
      <c r="L457" t="s">
        <v>85</v>
      </c>
      <c r="M457">
        <v>0</v>
      </c>
      <c r="N457">
        <v>8</v>
      </c>
      <c r="O457">
        <v>0</v>
      </c>
      <c r="P457">
        <v>0</v>
      </c>
      <c r="Q457">
        <v>0</v>
      </c>
      <c r="R457">
        <v>0</v>
      </c>
      <c r="CC457" t="s">
        <v>19</v>
      </c>
      <c r="CD457">
        <v>71</v>
      </c>
    </row>
    <row r="458" spans="1:82" x14ac:dyDescent="0.25">
      <c r="A458">
        <v>459</v>
      </c>
      <c r="B458" t="s">
        <v>42</v>
      </c>
      <c r="C458" t="s">
        <v>43</v>
      </c>
      <c r="D458" t="s">
        <v>36</v>
      </c>
      <c r="E458" t="s">
        <v>54</v>
      </c>
      <c r="F458" t="s">
        <v>22</v>
      </c>
      <c r="G458" t="s">
        <v>414</v>
      </c>
      <c r="H458">
        <v>2024</v>
      </c>
      <c r="I458">
        <v>3</v>
      </c>
      <c r="J458" t="s">
        <v>40</v>
      </c>
      <c r="K458" t="s">
        <v>41</v>
      </c>
      <c r="L458" t="s">
        <v>26</v>
      </c>
      <c r="M458">
        <v>0</v>
      </c>
      <c r="N458">
        <v>8</v>
      </c>
      <c r="O458">
        <v>0</v>
      </c>
      <c r="P458">
        <v>0</v>
      </c>
      <c r="Q458">
        <v>0</v>
      </c>
      <c r="R458">
        <v>0</v>
      </c>
      <c r="CC458" t="s">
        <v>43</v>
      </c>
      <c r="CD458">
        <v>87</v>
      </c>
    </row>
    <row r="459" spans="1:82" x14ac:dyDescent="0.25">
      <c r="A459">
        <v>460</v>
      </c>
      <c r="B459" t="s">
        <v>69</v>
      </c>
      <c r="C459" t="s">
        <v>70</v>
      </c>
      <c r="D459" t="s">
        <v>36</v>
      </c>
      <c r="E459" t="s">
        <v>49</v>
      </c>
      <c r="F459" t="s">
        <v>71</v>
      </c>
      <c r="G459" t="s">
        <v>245</v>
      </c>
      <c r="H459">
        <v>2024</v>
      </c>
      <c r="I459">
        <v>10</v>
      </c>
      <c r="J459" t="s">
        <v>105</v>
      </c>
      <c r="K459" t="s">
        <v>52</v>
      </c>
      <c r="L459" t="s">
        <v>85</v>
      </c>
      <c r="M459">
        <v>0</v>
      </c>
      <c r="N459">
        <v>8</v>
      </c>
      <c r="O459">
        <v>0</v>
      </c>
      <c r="P459">
        <v>0</v>
      </c>
      <c r="Q459">
        <v>0</v>
      </c>
      <c r="R459">
        <v>0</v>
      </c>
      <c r="CC459" t="s">
        <v>70</v>
      </c>
      <c r="CD459">
        <v>94</v>
      </c>
    </row>
    <row r="460" spans="1:82" x14ac:dyDescent="0.25">
      <c r="A460">
        <v>461</v>
      </c>
      <c r="B460" t="s">
        <v>69</v>
      </c>
      <c r="C460" t="s">
        <v>70</v>
      </c>
      <c r="D460" t="s">
        <v>36</v>
      </c>
      <c r="E460" t="s">
        <v>29</v>
      </c>
      <c r="F460" t="s">
        <v>71</v>
      </c>
      <c r="G460" t="s">
        <v>415</v>
      </c>
      <c r="H460">
        <v>2024</v>
      </c>
      <c r="I460">
        <v>2</v>
      </c>
      <c r="J460" t="s">
        <v>84</v>
      </c>
      <c r="K460" t="s">
        <v>41</v>
      </c>
      <c r="L460" t="s">
        <v>33</v>
      </c>
      <c r="M460">
        <v>0</v>
      </c>
      <c r="N460">
        <v>8</v>
      </c>
      <c r="O460">
        <v>1</v>
      </c>
      <c r="P460">
        <v>0</v>
      </c>
      <c r="Q460">
        <v>67</v>
      </c>
      <c r="R460">
        <v>4</v>
      </c>
      <c r="CC460" t="s">
        <v>70</v>
      </c>
      <c r="CD460">
        <v>82</v>
      </c>
    </row>
    <row r="461" spans="1:82" x14ac:dyDescent="0.25">
      <c r="A461">
        <v>462</v>
      </c>
      <c r="B461" t="s">
        <v>62</v>
      </c>
      <c r="C461" t="s">
        <v>63</v>
      </c>
      <c r="D461" t="s">
        <v>20</v>
      </c>
      <c r="E461" t="s">
        <v>29</v>
      </c>
      <c r="F461" t="s">
        <v>38</v>
      </c>
      <c r="G461" t="s">
        <v>416</v>
      </c>
      <c r="H461">
        <v>2024</v>
      </c>
      <c r="I461">
        <v>8</v>
      </c>
      <c r="J461" t="s">
        <v>107</v>
      </c>
      <c r="K461" t="s">
        <v>25</v>
      </c>
      <c r="L461" t="s">
        <v>77</v>
      </c>
      <c r="M461">
        <v>0</v>
      </c>
      <c r="N461">
        <v>8</v>
      </c>
      <c r="O461">
        <v>1</v>
      </c>
      <c r="P461">
        <v>3</v>
      </c>
      <c r="Q461">
        <v>88</v>
      </c>
      <c r="R461">
        <v>0</v>
      </c>
      <c r="CC461" t="s">
        <v>63</v>
      </c>
      <c r="CD461">
        <v>94</v>
      </c>
    </row>
    <row r="462" spans="1:82" x14ac:dyDescent="0.25">
      <c r="A462">
        <v>463</v>
      </c>
      <c r="B462" t="s">
        <v>79</v>
      </c>
      <c r="C462" t="s">
        <v>80</v>
      </c>
      <c r="D462" t="s">
        <v>20</v>
      </c>
      <c r="E462" t="s">
        <v>49</v>
      </c>
      <c r="F462" t="s">
        <v>81</v>
      </c>
      <c r="G462" t="s">
        <v>277</v>
      </c>
      <c r="H462">
        <v>2024</v>
      </c>
      <c r="I462">
        <v>5</v>
      </c>
      <c r="J462" t="s">
        <v>47</v>
      </c>
      <c r="K462" t="s">
        <v>48</v>
      </c>
      <c r="L462" t="s">
        <v>33</v>
      </c>
      <c r="M462">
        <v>0</v>
      </c>
      <c r="N462">
        <v>8</v>
      </c>
      <c r="O462">
        <v>1</v>
      </c>
      <c r="P462">
        <v>3</v>
      </c>
      <c r="Q462">
        <v>88</v>
      </c>
      <c r="R462">
        <v>2</v>
      </c>
      <c r="CC462" t="s">
        <v>80</v>
      </c>
      <c r="CD462">
        <v>76</v>
      </c>
    </row>
    <row r="463" spans="1:82" x14ac:dyDescent="0.25">
      <c r="A463">
        <v>464</v>
      </c>
      <c r="B463" t="s">
        <v>42</v>
      </c>
      <c r="C463" t="s">
        <v>43</v>
      </c>
      <c r="D463" t="s">
        <v>36</v>
      </c>
      <c r="E463" t="s">
        <v>37</v>
      </c>
      <c r="F463" t="s">
        <v>22</v>
      </c>
      <c r="G463" t="s">
        <v>212</v>
      </c>
      <c r="H463">
        <v>2024</v>
      </c>
      <c r="I463">
        <v>9</v>
      </c>
      <c r="J463" t="s">
        <v>24</v>
      </c>
      <c r="K463" t="s">
        <v>25</v>
      </c>
      <c r="L463" t="s">
        <v>53</v>
      </c>
      <c r="M463">
        <v>1</v>
      </c>
      <c r="N463">
        <v>8</v>
      </c>
      <c r="O463">
        <v>1</v>
      </c>
      <c r="P463">
        <v>1</v>
      </c>
      <c r="Q463">
        <v>76</v>
      </c>
      <c r="R463">
        <v>1</v>
      </c>
      <c r="CC463" t="s">
        <v>43</v>
      </c>
      <c r="CD463">
        <v>87</v>
      </c>
    </row>
    <row r="464" spans="1:82" x14ac:dyDescent="0.25">
      <c r="A464">
        <v>465</v>
      </c>
      <c r="B464" t="s">
        <v>42</v>
      </c>
      <c r="C464" t="s">
        <v>43</v>
      </c>
      <c r="D464" t="s">
        <v>36</v>
      </c>
      <c r="E464" t="s">
        <v>29</v>
      </c>
      <c r="F464" t="s">
        <v>22</v>
      </c>
      <c r="G464" t="s">
        <v>417</v>
      </c>
      <c r="H464">
        <v>2024</v>
      </c>
      <c r="I464">
        <v>7</v>
      </c>
      <c r="J464" t="s">
        <v>32</v>
      </c>
      <c r="K464" t="s">
        <v>25</v>
      </c>
      <c r="L464" t="s">
        <v>85</v>
      </c>
      <c r="M464">
        <v>0</v>
      </c>
      <c r="N464">
        <v>8</v>
      </c>
      <c r="O464">
        <v>1</v>
      </c>
      <c r="P464">
        <v>2</v>
      </c>
      <c r="Q464">
        <v>68</v>
      </c>
      <c r="R464">
        <v>3</v>
      </c>
      <c r="CC464" t="s">
        <v>43</v>
      </c>
      <c r="CD464">
        <v>79</v>
      </c>
    </row>
    <row r="465" spans="1:82" x14ac:dyDescent="0.25">
      <c r="A465">
        <v>466</v>
      </c>
      <c r="B465" t="s">
        <v>65</v>
      </c>
      <c r="C465" t="s">
        <v>66</v>
      </c>
      <c r="D465" t="s">
        <v>36</v>
      </c>
      <c r="E465" t="s">
        <v>54</v>
      </c>
      <c r="F465" t="s">
        <v>38</v>
      </c>
      <c r="G465" t="s">
        <v>99</v>
      </c>
      <c r="H465">
        <v>2025</v>
      </c>
      <c r="I465">
        <v>6</v>
      </c>
      <c r="J465" t="s">
        <v>76</v>
      </c>
      <c r="K465" t="s">
        <v>48</v>
      </c>
      <c r="L465" t="s">
        <v>26</v>
      </c>
      <c r="M465">
        <v>0</v>
      </c>
      <c r="N465">
        <v>8</v>
      </c>
      <c r="O465">
        <v>0</v>
      </c>
      <c r="P465">
        <v>0</v>
      </c>
      <c r="Q465">
        <v>0</v>
      </c>
      <c r="R465">
        <v>0</v>
      </c>
      <c r="CC465" t="s">
        <v>66</v>
      </c>
      <c r="CD465">
        <v>66</v>
      </c>
    </row>
    <row r="466" spans="1:82" x14ac:dyDescent="0.25">
      <c r="A466">
        <v>467</v>
      </c>
      <c r="B466" t="s">
        <v>57</v>
      </c>
      <c r="C466" t="s">
        <v>58</v>
      </c>
      <c r="D466" t="s">
        <v>36</v>
      </c>
      <c r="E466" t="s">
        <v>29</v>
      </c>
      <c r="F466" t="s">
        <v>59</v>
      </c>
      <c r="G466" t="s">
        <v>418</v>
      </c>
      <c r="H466">
        <v>2025</v>
      </c>
      <c r="I466">
        <v>8</v>
      </c>
      <c r="J466" t="s">
        <v>107</v>
      </c>
      <c r="K466" t="s">
        <v>25</v>
      </c>
      <c r="L466" t="s">
        <v>85</v>
      </c>
      <c r="M466">
        <v>0</v>
      </c>
      <c r="N466">
        <v>8</v>
      </c>
      <c r="O466">
        <v>0</v>
      </c>
      <c r="P466">
        <v>0</v>
      </c>
      <c r="Q466">
        <v>0</v>
      </c>
      <c r="R466">
        <v>0</v>
      </c>
      <c r="CC466" t="s">
        <v>58</v>
      </c>
      <c r="CD466">
        <v>88</v>
      </c>
    </row>
    <row r="467" spans="1:82" x14ac:dyDescent="0.25">
      <c r="A467">
        <v>468</v>
      </c>
      <c r="B467" t="s">
        <v>122</v>
      </c>
      <c r="C467" t="s">
        <v>123</v>
      </c>
      <c r="D467" t="s">
        <v>20</v>
      </c>
      <c r="E467" t="s">
        <v>37</v>
      </c>
      <c r="F467" t="s">
        <v>71</v>
      </c>
      <c r="G467" t="s">
        <v>334</v>
      </c>
      <c r="H467">
        <v>2025</v>
      </c>
      <c r="I467">
        <v>7</v>
      </c>
      <c r="J467" t="s">
        <v>32</v>
      </c>
      <c r="K467" t="s">
        <v>25</v>
      </c>
      <c r="L467" t="s">
        <v>85</v>
      </c>
      <c r="M467">
        <v>0</v>
      </c>
      <c r="N467">
        <v>8</v>
      </c>
      <c r="O467">
        <v>0</v>
      </c>
      <c r="P467">
        <v>0</v>
      </c>
      <c r="Q467">
        <v>0</v>
      </c>
      <c r="R467">
        <v>0</v>
      </c>
      <c r="CC467" t="s">
        <v>123</v>
      </c>
      <c r="CD467">
        <v>62</v>
      </c>
    </row>
    <row r="468" spans="1:82" x14ac:dyDescent="0.25">
      <c r="A468">
        <v>469</v>
      </c>
      <c r="B468" t="s">
        <v>69</v>
      </c>
      <c r="C468" t="s">
        <v>70</v>
      </c>
      <c r="D468" t="s">
        <v>36</v>
      </c>
      <c r="E468" t="s">
        <v>49</v>
      </c>
      <c r="F468" t="s">
        <v>71</v>
      </c>
      <c r="G468" t="s">
        <v>141</v>
      </c>
      <c r="H468">
        <v>2025</v>
      </c>
      <c r="I468">
        <v>7</v>
      </c>
      <c r="J468" t="s">
        <v>32</v>
      </c>
      <c r="K468" t="s">
        <v>25</v>
      </c>
      <c r="L468" t="s">
        <v>61</v>
      </c>
      <c r="M468">
        <v>0</v>
      </c>
      <c r="N468">
        <v>8</v>
      </c>
      <c r="O468">
        <v>0</v>
      </c>
      <c r="P468">
        <v>0</v>
      </c>
      <c r="Q468">
        <v>0</v>
      </c>
      <c r="R468">
        <v>0</v>
      </c>
      <c r="CC468" t="s">
        <v>70</v>
      </c>
      <c r="CD468">
        <v>91</v>
      </c>
    </row>
    <row r="469" spans="1:82" x14ac:dyDescent="0.25">
      <c r="A469">
        <v>470</v>
      </c>
      <c r="B469" t="s">
        <v>79</v>
      </c>
      <c r="C469" t="s">
        <v>80</v>
      </c>
      <c r="D469" t="s">
        <v>20</v>
      </c>
      <c r="E469" t="s">
        <v>29</v>
      </c>
      <c r="F469" t="s">
        <v>81</v>
      </c>
      <c r="G469" t="s">
        <v>419</v>
      </c>
      <c r="H469">
        <v>2024</v>
      </c>
      <c r="I469">
        <v>4</v>
      </c>
      <c r="J469" t="s">
        <v>89</v>
      </c>
      <c r="K469" t="s">
        <v>48</v>
      </c>
      <c r="L469" t="s">
        <v>45</v>
      </c>
      <c r="M469">
        <v>1</v>
      </c>
      <c r="N469">
        <v>8</v>
      </c>
      <c r="O469">
        <v>1</v>
      </c>
      <c r="P469">
        <v>1</v>
      </c>
      <c r="Q469">
        <v>92</v>
      </c>
      <c r="R469">
        <v>6</v>
      </c>
      <c r="CC469" t="s">
        <v>80</v>
      </c>
      <c r="CD469">
        <v>85</v>
      </c>
    </row>
    <row r="470" spans="1:82" x14ac:dyDescent="0.25">
      <c r="A470">
        <v>471</v>
      </c>
      <c r="B470" t="s">
        <v>18</v>
      </c>
      <c r="C470" t="s">
        <v>19</v>
      </c>
      <c r="D470" t="s">
        <v>20</v>
      </c>
      <c r="E470" t="s">
        <v>37</v>
      </c>
      <c r="F470" t="s">
        <v>22</v>
      </c>
      <c r="G470" t="s">
        <v>193</v>
      </c>
      <c r="H470">
        <v>2025</v>
      </c>
      <c r="I470">
        <v>7</v>
      </c>
      <c r="J470" t="s">
        <v>32</v>
      </c>
      <c r="K470" t="s">
        <v>25</v>
      </c>
      <c r="L470" t="s">
        <v>53</v>
      </c>
      <c r="M470">
        <v>1</v>
      </c>
      <c r="N470">
        <v>8</v>
      </c>
      <c r="O470">
        <v>0</v>
      </c>
      <c r="P470">
        <v>0</v>
      </c>
      <c r="Q470">
        <v>0</v>
      </c>
      <c r="R470">
        <v>0</v>
      </c>
      <c r="CC470" t="s">
        <v>19</v>
      </c>
      <c r="CD470">
        <v>81</v>
      </c>
    </row>
    <row r="471" spans="1:82" x14ac:dyDescent="0.25">
      <c r="A471">
        <v>472</v>
      </c>
      <c r="B471" t="s">
        <v>79</v>
      </c>
      <c r="C471" t="s">
        <v>80</v>
      </c>
      <c r="D471" t="s">
        <v>20</v>
      </c>
      <c r="E471" t="s">
        <v>29</v>
      </c>
      <c r="F471" t="s">
        <v>81</v>
      </c>
      <c r="G471" t="s">
        <v>278</v>
      </c>
      <c r="H471">
        <v>2025</v>
      </c>
      <c r="I471">
        <v>4</v>
      </c>
      <c r="J471" t="s">
        <v>89</v>
      </c>
      <c r="K471" t="s">
        <v>48</v>
      </c>
      <c r="L471" t="s">
        <v>77</v>
      </c>
      <c r="M471">
        <v>0</v>
      </c>
      <c r="N471">
        <v>8</v>
      </c>
      <c r="O471">
        <v>0</v>
      </c>
      <c r="P471">
        <v>0</v>
      </c>
      <c r="Q471">
        <v>0</v>
      </c>
      <c r="R471">
        <v>0</v>
      </c>
      <c r="CC471" t="s">
        <v>80</v>
      </c>
      <c r="CD471">
        <v>70</v>
      </c>
    </row>
    <row r="472" spans="1:82" x14ac:dyDescent="0.25">
      <c r="A472">
        <v>473</v>
      </c>
      <c r="B472" t="s">
        <v>65</v>
      </c>
      <c r="C472" t="s">
        <v>66</v>
      </c>
      <c r="D472" t="s">
        <v>36</v>
      </c>
      <c r="E472" t="s">
        <v>29</v>
      </c>
      <c r="F472" t="s">
        <v>38</v>
      </c>
      <c r="G472" t="s">
        <v>345</v>
      </c>
      <c r="H472">
        <v>2025</v>
      </c>
      <c r="I472">
        <v>9</v>
      </c>
      <c r="J472" t="s">
        <v>24</v>
      </c>
      <c r="K472" t="s">
        <v>25</v>
      </c>
      <c r="L472" t="s">
        <v>33</v>
      </c>
      <c r="M472">
        <v>0</v>
      </c>
      <c r="N472">
        <v>8</v>
      </c>
      <c r="O472">
        <v>0</v>
      </c>
      <c r="P472">
        <v>0</v>
      </c>
      <c r="Q472">
        <v>0</v>
      </c>
      <c r="R472">
        <v>0</v>
      </c>
      <c r="CC472" t="s">
        <v>66</v>
      </c>
      <c r="CD472">
        <v>93</v>
      </c>
    </row>
    <row r="473" spans="1:82" x14ac:dyDescent="0.25">
      <c r="A473">
        <v>474</v>
      </c>
      <c r="B473" t="s">
        <v>34</v>
      </c>
      <c r="C473" t="s">
        <v>35</v>
      </c>
      <c r="D473" t="s">
        <v>36</v>
      </c>
      <c r="E473" t="s">
        <v>37</v>
      </c>
      <c r="F473" t="s">
        <v>38</v>
      </c>
      <c r="G473" t="s">
        <v>104</v>
      </c>
      <c r="H473">
        <v>2024</v>
      </c>
      <c r="I473">
        <v>10</v>
      </c>
      <c r="J473" t="s">
        <v>105</v>
      </c>
      <c r="K473" t="s">
        <v>52</v>
      </c>
      <c r="L473" t="s">
        <v>33</v>
      </c>
      <c r="M473">
        <v>0</v>
      </c>
      <c r="N473">
        <v>8</v>
      </c>
      <c r="O473">
        <v>1</v>
      </c>
      <c r="P473">
        <v>0</v>
      </c>
      <c r="Q473">
        <v>62</v>
      </c>
      <c r="R473">
        <v>5</v>
      </c>
      <c r="CC473" t="s">
        <v>35</v>
      </c>
      <c r="CD473">
        <v>61</v>
      </c>
    </row>
    <row r="474" spans="1:82" x14ac:dyDescent="0.25">
      <c r="A474">
        <v>475</v>
      </c>
      <c r="B474" t="s">
        <v>42</v>
      </c>
      <c r="C474" t="s">
        <v>43</v>
      </c>
      <c r="D474" t="s">
        <v>36</v>
      </c>
      <c r="E474" t="s">
        <v>21</v>
      </c>
      <c r="F474" t="s">
        <v>22</v>
      </c>
      <c r="G474" t="s">
        <v>250</v>
      </c>
      <c r="H474">
        <v>2024</v>
      </c>
      <c r="I474">
        <v>1</v>
      </c>
      <c r="J474" t="s">
        <v>68</v>
      </c>
      <c r="K474" t="s">
        <v>41</v>
      </c>
      <c r="L474" t="s">
        <v>33</v>
      </c>
      <c r="M474">
        <v>0</v>
      </c>
      <c r="N474">
        <v>8</v>
      </c>
      <c r="O474">
        <v>0</v>
      </c>
      <c r="P474">
        <v>0</v>
      </c>
      <c r="Q474">
        <v>0</v>
      </c>
      <c r="R474">
        <v>0</v>
      </c>
      <c r="CC474" t="s">
        <v>43</v>
      </c>
      <c r="CD474">
        <v>71</v>
      </c>
    </row>
    <row r="475" spans="1:82" x14ac:dyDescent="0.25">
      <c r="A475">
        <v>476</v>
      </c>
      <c r="B475" t="s">
        <v>27</v>
      </c>
      <c r="C475" t="s">
        <v>28</v>
      </c>
      <c r="D475" t="s">
        <v>20</v>
      </c>
      <c r="E475" t="s">
        <v>37</v>
      </c>
      <c r="F475" t="s">
        <v>30</v>
      </c>
      <c r="G475" t="s">
        <v>420</v>
      </c>
      <c r="H475">
        <v>2025</v>
      </c>
      <c r="I475">
        <v>3</v>
      </c>
      <c r="J475" t="s">
        <v>40</v>
      </c>
      <c r="K475" t="s">
        <v>41</v>
      </c>
      <c r="L475" t="s">
        <v>33</v>
      </c>
      <c r="M475">
        <v>0</v>
      </c>
      <c r="N475">
        <v>8</v>
      </c>
      <c r="O475">
        <v>0</v>
      </c>
      <c r="P475">
        <v>0</v>
      </c>
      <c r="Q475">
        <v>0</v>
      </c>
      <c r="R475">
        <v>0</v>
      </c>
      <c r="CC475" t="s">
        <v>28</v>
      </c>
      <c r="CD475">
        <v>85</v>
      </c>
    </row>
    <row r="476" spans="1:82" x14ac:dyDescent="0.25">
      <c r="A476">
        <v>477</v>
      </c>
      <c r="B476" t="s">
        <v>69</v>
      </c>
      <c r="C476" t="s">
        <v>70</v>
      </c>
      <c r="D476" t="s">
        <v>36</v>
      </c>
      <c r="E476" t="s">
        <v>29</v>
      </c>
      <c r="F476" t="s">
        <v>71</v>
      </c>
      <c r="G476" t="s">
        <v>354</v>
      </c>
      <c r="H476">
        <v>2025</v>
      </c>
      <c r="I476">
        <v>9</v>
      </c>
      <c r="J476" t="s">
        <v>24</v>
      </c>
      <c r="K476" t="s">
        <v>25</v>
      </c>
      <c r="L476" t="s">
        <v>77</v>
      </c>
      <c r="M476">
        <v>0</v>
      </c>
      <c r="N476">
        <v>8</v>
      </c>
      <c r="O476">
        <v>1</v>
      </c>
      <c r="P476">
        <v>2</v>
      </c>
      <c r="Q476">
        <v>93</v>
      </c>
      <c r="R476">
        <v>5</v>
      </c>
      <c r="CC476" t="s">
        <v>70</v>
      </c>
      <c r="CD476">
        <v>94</v>
      </c>
    </row>
    <row r="477" spans="1:82" x14ac:dyDescent="0.25">
      <c r="A477">
        <v>478</v>
      </c>
      <c r="B477" t="s">
        <v>34</v>
      </c>
      <c r="C477" t="s">
        <v>35</v>
      </c>
      <c r="D477" t="s">
        <v>36</v>
      </c>
      <c r="E477" t="s">
        <v>21</v>
      </c>
      <c r="F477" t="s">
        <v>38</v>
      </c>
      <c r="G477" t="s">
        <v>421</v>
      </c>
      <c r="H477">
        <v>2025</v>
      </c>
      <c r="I477">
        <v>1</v>
      </c>
      <c r="J477" t="s">
        <v>68</v>
      </c>
      <c r="K477" t="s">
        <v>41</v>
      </c>
      <c r="L477" t="s">
        <v>33</v>
      </c>
      <c r="M477">
        <v>0</v>
      </c>
      <c r="N477">
        <v>8</v>
      </c>
      <c r="O477">
        <v>0</v>
      </c>
      <c r="P477">
        <v>0</v>
      </c>
      <c r="Q477">
        <v>0</v>
      </c>
      <c r="R477">
        <v>0</v>
      </c>
      <c r="CC477" t="s">
        <v>35</v>
      </c>
      <c r="CD477">
        <v>68</v>
      </c>
    </row>
    <row r="478" spans="1:82" x14ac:dyDescent="0.25">
      <c r="A478">
        <v>479</v>
      </c>
      <c r="B478" t="s">
        <v>62</v>
      </c>
      <c r="C478" t="s">
        <v>63</v>
      </c>
      <c r="D478" t="s">
        <v>20</v>
      </c>
      <c r="E478" t="s">
        <v>29</v>
      </c>
      <c r="F478" t="s">
        <v>38</v>
      </c>
      <c r="G478" t="s">
        <v>422</v>
      </c>
      <c r="H478">
        <v>2025</v>
      </c>
      <c r="I478">
        <v>8</v>
      </c>
      <c r="J478" t="s">
        <v>107</v>
      </c>
      <c r="K478" t="s">
        <v>25</v>
      </c>
      <c r="L478" t="s">
        <v>53</v>
      </c>
      <c r="M478">
        <v>1</v>
      </c>
      <c r="N478">
        <v>8</v>
      </c>
      <c r="O478">
        <v>1</v>
      </c>
      <c r="P478">
        <v>1</v>
      </c>
      <c r="Q478">
        <v>62</v>
      </c>
      <c r="R478">
        <v>4</v>
      </c>
      <c r="CC478" t="s">
        <v>63</v>
      </c>
      <c r="CD478">
        <v>94</v>
      </c>
    </row>
    <row r="479" spans="1:82" x14ac:dyDescent="0.25">
      <c r="A479">
        <v>480</v>
      </c>
      <c r="B479" t="s">
        <v>122</v>
      </c>
      <c r="C479" t="s">
        <v>123</v>
      </c>
      <c r="D479" t="s">
        <v>20</v>
      </c>
      <c r="E479" t="s">
        <v>54</v>
      </c>
      <c r="F479" t="s">
        <v>71</v>
      </c>
      <c r="G479" t="s">
        <v>423</v>
      </c>
      <c r="H479">
        <v>2024</v>
      </c>
      <c r="I479">
        <v>5</v>
      </c>
      <c r="J479" t="s">
        <v>47</v>
      </c>
      <c r="K479" t="s">
        <v>48</v>
      </c>
      <c r="L479" t="s">
        <v>77</v>
      </c>
      <c r="M479">
        <v>0</v>
      </c>
      <c r="N479">
        <v>8</v>
      </c>
      <c r="O479">
        <v>1</v>
      </c>
      <c r="P479">
        <v>3</v>
      </c>
      <c r="Q479">
        <v>84</v>
      </c>
      <c r="R479">
        <v>3</v>
      </c>
      <c r="CC479" t="s">
        <v>123</v>
      </c>
      <c r="CD479">
        <v>68</v>
      </c>
    </row>
    <row r="480" spans="1:82" x14ac:dyDescent="0.25">
      <c r="A480">
        <v>481</v>
      </c>
      <c r="B480" t="s">
        <v>69</v>
      </c>
      <c r="C480" t="s">
        <v>70</v>
      </c>
      <c r="D480" t="s">
        <v>36</v>
      </c>
      <c r="E480" t="s">
        <v>21</v>
      </c>
      <c r="F480" t="s">
        <v>71</v>
      </c>
      <c r="G480" t="s">
        <v>424</v>
      </c>
      <c r="H480">
        <v>2024</v>
      </c>
      <c r="I480">
        <v>8</v>
      </c>
      <c r="J480" t="s">
        <v>107</v>
      </c>
      <c r="K480" t="s">
        <v>25</v>
      </c>
      <c r="L480" t="s">
        <v>53</v>
      </c>
      <c r="M480">
        <v>1</v>
      </c>
      <c r="N480">
        <v>8</v>
      </c>
      <c r="O480">
        <v>0</v>
      </c>
      <c r="P480">
        <v>0</v>
      </c>
      <c r="Q480">
        <v>0</v>
      </c>
      <c r="R480">
        <v>0</v>
      </c>
      <c r="CC480" t="s">
        <v>70</v>
      </c>
      <c r="CD480">
        <v>72</v>
      </c>
    </row>
    <row r="481" spans="1:82" x14ac:dyDescent="0.25">
      <c r="A481">
        <v>482</v>
      </c>
      <c r="B481" t="s">
        <v>57</v>
      </c>
      <c r="C481" t="s">
        <v>58</v>
      </c>
      <c r="D481" t="s">
        <v>36</v>
      </c>
      <c r="E481" t="s">
        <v>21</v>
      </c>
      <c r="F481" t="s">
        <v>59</v>
      </c>
      <c r="G481" t="s">
        <v>126</v>
      </c>
      <c r="H481">
        <v>2024</v>
      </c>
      <c r="I481">
        <v>10</v>
      </c>
      <c r="J481" t="s">
        <v>105</v>
      </c>
      <c r="K481" t="s">
        <v>52</v>
      </c>
      <c r="L481" t="s">
        <v>61</v>
      </c>
      <c r="M481">
        <v>0</v>
      </c>
      <c r="N481">
        <v>8</v>
      </c>
      <c r="O481">
        <v>0</v>
      </c>
      <c r="P481">
        <v>0</v>
      </c>
      <c r="Q481">
        <v>0</v>
      </c>
      <c r="R481">
        <v>0</v>
      </c>
      <c r="CC481" t="s">
        <v>58</v>
      </c>
      <c r="CD481">
        <v>79</v>
      </c>
    </row>
    <row r="482" spans="1:82" x14ac:dyDescent="0.25">
      <c r="A482">
        <v>483</v>
      </c>
      <c r="B482" t="s">
        <v>42</v>
      </c>
      <c r="C482" t="s">
        <v>43</v>
      </c>
      <c r="D482" t="s">
        <v>36</v>
      </c>
      <c r="E482" t="s">
        <v>37</v>
      </c>
      <c r="F482" t="s">
        <v>22</v>
      </c>
      <c r="G482" t="s">
        <v>275</v>
      </c>
      <c r="H482">
        <v>2025</v>
      </c>
      <c r="I482">
        <v>6</v>
      </c>
      <c r="J482" t="s">
        <v>76</v>
      </c>
      <c r="K482" t="s">
        <v>48</v>
      </c>
      <c r="L482" t="s">
        <v>45</v>
      </c>
      <c r="M482">
        <v>1</v>
      </c>
      <c r="N482">
        <v>8</v>
      </c>
      <c r="O482">
        <v>1</v>
      </c>
      <c r="P482">
        <v>1</v>
      </c>
      <c r="Q482">
        <v>70</v>
      </c>
      <c r="R482">
        <v>0</v>
      </c>
      <c r="CC482" t="s">
        <v>43</v>
      </c>
      <c r="CD482">
        <v>67</v>
      </c>
    </row>
    <row r="483" spans="1:82" x14ac:dyDescent="0.25">
      <c r="A483">
        <v>484</v>
      </c>
      <c r="B483" t="s">
        <v>27</v>
      </c>
      <c r="C483" t="s">
        <v>28</v>
      </c>
      <c r="D483" t="s">
        <v>20</v>
      </c>
      <c r="E483" t="s">
        <v>29</v>
      </c>
      <c r="F483" t="s">
        <v>30</v>
      </c>
      <c r="G483" t="s">
        <v>383</v>
      </c>
      <c r="H483">
        <v>2024</v>
      </c>
      <c r="I483">
        <v>7</v>
      </c>
      <c r="J483" t="s">
        <v>32</v>
      </c>
      <c r="K483" t="s">
        <v>25</v>
      </c>
      <c r="L483" t="s">
        <v>26</v>
      </c>
      <c r="M483">
        <v>0</v>
      </c>
      <c r="N483">
        <v>8</v>
      </c>
      <c r="O483">
        <v>1</v>
      </c>
      <c r="P483">
        <v>1</v>
      </c>
      <c r="Q483">
        <v>82</v>
      </c>
      <c r="R483">
        <v>5</v>
      </c>
      <c r="CC483" t="s">
        <v>28</v>
      </c>
      <c r="CD483">
        <v>63</v>
      </c>
    </row>
    <row r="484" spans="1:82" x14ac:dyDescent="0.25">
      <c r="A484">
        <v>485</v>
      </c>
      <c r="B484" t="s">
        <v>42</v>
      </c>
      <c r="C484" t="s">
        <v>43</v>
      </c>
      <c r="D484" t="s">
        <v>36</v>
      </c>
      <c r="E484" t="s">
        <v>54</v>
      </c>
      <c r="F484" t="s">
        <v>22</v>
      </c>
      <c r="G484" t="s">
        <v>125</v>
      </c>
      <c r="H484">
        <v>2025</v>
      </c>
      <c r="I484">
        <v>8</v>
      </c>
      <c r="J484" t="s">
        <v>107</v>
      </c>
      <c r="K484" t="s">
        <v>25</v>
      </c>
      <c r="L484" t="s">
        <v>77</v>
      </c>
      <c r="M484">
        <v>0</v>
      </c>
      <c r="N484">
        <v>8</v>
      </c>
      <c r="O484">
        <v>0</v>
      </c>
      <c r="P484">
        <v>0</v>
      </c>
      <c r="Q484">
        <v>0</v>
      </c>
      <c r="R484">
        <v>0</v>
      </c>
      <c r="CC484" t="s">
        <v>43</v>
      </c>
      <c r="CD484">
        <v>60</v>
      </c>
    </row>
    <row r="485" spans="1:82" x14ac:dyDescent="0.25">
      <c r="A485">
        <v>486</v>
      </c>
      <c r="B485" t="s">
        <v>27</v>
      </c>
      <c r="C485" t="s">
        <v>28</v>
      </c>
      <c r="D485" t="s">
        <v>20</v>
      </c>
      <c r="E485" t="s">
        <v>49</v>
      </c>
      <c r="F485" t="s">
        <v>30</v>
      </c>
      <c r="G485" t="s">
        <v>425</v>
      </c>
      <c r="H485">
        <v>2025</v>
      </c>
      <c r="I485">
        <v>11</v>
      </c>
      <c r="J485" t="s">
        <v>74</v>
      </c>
      <c r="K485" t="s">
        <v>52</v>
      </c>
      <c r="L485" t="s">
        <v>45</v>
      </c>
      <c r="M485">
        <v>1</v>
      </c>
      <c r="N485">
        <v>8</v>
      </c>
      <c r="O485">
        <v>1</v>
      </c>
      <c r="P485">
        <v>1</v>
      </c>
      <c r="Q485">
        <v>94</v>
      </c>
      <c r="R485">
        <v>3</v>
      </c>
      <c r="CC485" t="s">
        <v>28</v>
      </c>
      <c r="CD485">
        <v>89</v>
      </c>
    </row>
    <row r="486" spans="1:82" x14ac:dyDescent="0.25">
      <c r="A486">
        <v>487</v>
      </c>
      <c r="B486" t="s">
        <v>79</v>
      </c>
      <c r="C486" t="s">
        <v>80</v>
      </c>
      <c r="D486" t="s">
        <v>20</v>
      </c>
      <c r="E486" t="s">
        <v>37</v>
      </c>
      <c r="F486" t="s">
        <v>81</v>
      </c>
      <c r="G486" t="s">
        <v>290</v>
      </c>
      <c r="H486">
        <v>2024</v>
      </c>
      <c r="I486">
        <v>8</v>
      </c>
      <c r="J486" t="s">
        <v>107</v>
      </c>
      <c r="K486" t="s">
        <v>25</v>
      </c>
      <c r="L486" t="s">
        <v>61</v>
      </c>
      <c r="M486">
        <v>0</v>
      </c>
      <c r="N486">
        <v>8</v>
      </c>
      <c r="O486">
        <v>1</v>
      </c>
      <c r="P486">
        <v>0</v>
      </c>
      <c r="Q486">
        <v>91</v>
      </c>
      <c r="R486">
        <v>10</v>
      </c>
      <c r="CC486" t="s">
        <v>80</v>
      </c>
      <c r="CD486">
        <v>86</v>
      </c>
    </row>
    <row r="487" spans="1:82" x14ac:dyDescent="0.25">
      <c r="A487">
        <v>488</v>
      </c>
      <c r="B487" t="s">
        <v>57</v>
      </c>
      <c r="C487" t="s">
        <v>58</v>
      </c>
      <c r="D487" t="s">
        <v>36</v>
      </c>
      <c r="E487" t="s">
        <v>54</v>
      </c>
      <c r="F487" t="s">
        <v>59</v>
      </c>
      <c r="G487" t="s">
        <v>407</v>
      </c>
      <c r="H487">
        <v>2025</v>
      </c>
      <c r="I487">
        <v>5</v>
      </c>
      <c r="J487" t="s">
        <v>47</v>
      </c>
      <c r="K487" t="s">
        <v>48</v>
      </c>
      <c r="L487" t="s">
        <v>77</v>
      </c>
      <c r="M487">
        <v>0</v>
      </c>
      <c r="N487">
        <v>8</v>
      </c>
      <c r="O487">
        <v>0</v>
      </c>
      <c r="P487">
        <v>0</v>
      </c>
      <c r="Q487">
        <v>0</v>
      </c>
      <c r="R487">
        <v>0</v>
      </c>
      <c r="CC487" t="s">
        <v>58</v>
      </c>
      <c r="CD487">
        <v>65</v>
      </c>
    </row>
    <row r="488" spans="1:82" x14ac:dyDescent="0.25">
      <c r="A488">
        <v>489</v>
      </c>
      <c r="B488" t="s">
        <v>42</v>
      </c>
      <c r="C488" t="s">
        <v>43</v>
      </c>
      <c r="D488" t="s">
        <v>36</v>
      </c>
      <c r="E488" t="s">
        <v>37</v>
      </c>
      <c r="F488" t="s">
        <v>22</v>
      </c>
      <c r="G488" t="s">
        <v>426</v>
      </c>
      <c r="H488">
        <v>2024</v>
      </c>
      <c r="I488">
        <v>6</v>
      </c>
      <c r="J488" t="s">
        <v>76</v>
      </c>
      <c r="K488" t="s">
        <v>48</v>
      </c>
      <c r="L488" t="s">
        <v>53</v>
      </c>
      <c r="M488">
        <v>1</v>
      </c>
      <c r="N488">
        <v>8</v>
      </c>
      <c r="O488">
        <v>1</v>
      </c>
      <c r="P488">
        <v>3</v>
      </c>
      <c r="Q488">
        <v>78</v>
      </c>
      <c r="R488">
        <v>9</v>
      </c>
      <c r="CC488" t="s">
        <v>43</v>
      </c>
      <c r="CD488">
        <v>70</v>
      </c>
    </row>
    <row r="489" spans="1:82" x14ac:dyDescent="0.25">
      <c r="A489">
        <v>490</v>
      </c>
      <c r="B489" t="s">
        <v>65</v>
      </c>
      <c r="C489" t="s">
        <v>66</v>
      </c>
      <c r="D489" t="s">
        <v>36</v>
      </c>
      <c r="E489" t="s">
        <v>49</v>
      </c>
      <c r="F489" t="s">
        <v>38</v>
      </c>
      <c r="G489" t="s">
        <v>427</v>
      </c>
      <c r="H489">
        <v>2025</v>
      </c>
      <c r="I489">
        <v>11</v>
      </c>
      <c r="J489" t="s">
        <v>74</v>
      </c>
      <c r="K489" t="s">
        <v>52</v>
      </c>
      <c r="L489" t="s">
        <v>33</v>
      </c>
      <c r="M489">
        <v>0</v>
      </c>
      <c r="N489">
        <v>8</v>
      </c>
      <c r="O489">
        <v>1</v>
      </c>
      <c r="P489">
        <v>2</v>
      </c>
      <c r="Q489">
        <v>65</v>
      </c>
      <c r="R489">
        <v>8</v>
      </c>
      <c r="CC489" t="s">
        <v>66</v>
      </c>
      <c r="CD489">
        <v>73</v>
      </c>
    </row>
    <row r="490" spans="1:82" x14ac:dyDescent="0.25">
      <c r="A490">
        <v>491</v>
      </c>
      <c r="B490" t="s">
        <v>62</v>
      </c>
      <c r="C490" t="s">
        <v>63</v>
      </c>
      <c r="D490" t="s">
        <v>20</v>
      </c>
      <c r="E490" t="s">
        <v>21</v>
      </c>
      <c r="F490" t="s">
        <v>38</v>
      </c>
      <c r="G490" t="s">
        <v>383</v>
      </c>
      <c r="H490">
        <v>2024</v>
      </c>
      <c r="I490">
        <v>7</v>
      </c>
      <c r="J490" t="s">
        <v>32</v>
      </c>
      <c r="K490" t="s">
        <v>25</v>
      </c>
      <c r="L490" t="s">
        <v>26</v>
      </c>
      <c r="M490">
        <v>0</v>
      </c>
      <c r="N490">
        <v>8</v>
      </c>
      <c r="O490">
        <v>0</v>
      </c>
      <c r="P490">
        <v>0</v>
      </c>
      <c r="Q490">
        <v>0</v>
      </c>
      <c r="R490">
        <v>0</v>
      </c>
      <c r="CC490" t="s">
        <v>63</v>
      </c>
      <c r="CD490">
        <v>70</v>
      </c>
    </row>
    <row r="491" spans="1:82" x14ac:dyDescent="0.25">
      <c r="A491">
        <v>492</v>
      </c>
      <c r="B491" t="s">
        <v>42</v>
      </c>
      <c r="C491" t="s">
        <v>43</v>
      </c>
      <c r="D491" t="s">
        <v>36</v>
      </c>
      <c r="E491" t="s">
        <v>49</v>
      </c>
      <c r="F491" t="s">
        <v>22</v>
      </c>
      <c r="G491" t="s">
        <v>428</v>
      </c>
      <c r="H491">
        <v>2024</v>
      </c>
      <c r="I491">
        <v>10</v>
      </c>
      <c r="J491" t="s">
        <v>105</v>
      </c>
      <c r="K491" t="s">
        <v>52</v>
      </c>
      <c r="L491" t="s">
        <v>33</v>
      </c>
      <c r="M491">
        <v>0</v>
      </c>
      <c r="N491">
        <v>8</v>
      </c>
      <c r="O491">
        <v>0</v>
      </c>
      <c r="P491">
        <v>0</v>
      </c>
      <c r="Q491">
        <v>0</v>
      </c>
      <c r="R491">
        <v>0</v>
      </c>
      <c r="CC491" t="s">
        <v>43</v>
      </c>
      <c r="CD491">
        <v>88</v>
      </c>
    </row>
    <row r="492" spans="1:82" x14ac:dyDescent="0.25">
      <c r="A492">
        <v>493</v>
      </c>
      <c r="B492" t="s">
        <v>57</v>
      </c>
      <c r="C492" t="s">
        <v>58</v>
      </c>
      <c r="D492" t="s">
        <v>36</v>
      </c>
      <c r="E492" t="s">
        <v>21</v>
      </c>
      <c r="F492" t="s">
        <v>59</v>
      </c>
      <c r="G492" t="s">
        <v>281</v>
      </c>
      <c r="H492">
        <v>2024</v>
      </c>
      <c r="I492">
        <v>1</v>
      </c>
      <c r="J492" t="s">
        <v>68</v>
      </c>
      <c r="K492" t="s">
        <v>41</v>
      </c>
      <c r="L492" t="s">
        <v>77</v>
      </c>
      <c r="M492">
        <v>0</v>
      </c>
      <c r="N492">
        <v>8</v>
      </c>
      <c r="O492">
        <v>0</v>
      </c>
      <c r="P492">
        <v>0</v>
      </c>
      <c r="Q492">
        <v>0</v>
      </c>
      <c r="R492">
        <v>0</v>
      </c>
      <c r="CC492" t="s">
        <v>58</v>
      </c>
      <c r="CD492">
        <v>79</v>
      </c>
    </row>
    <row r="493" spans="1:82" x14ac:dyDescent="0.25">
      <c r="A493">
        <v>494</v>
      </c>
      <c r="B493" t="s">
        <v>27</v>
      </c>
      <c r="C493" t="s">
        <v>28</v>
      </c>
      <c r="D493" t="s">
        <v>20</v>
      </c>
      <c r="E493" t="s">
        <v>29</v>
      </c>
      <c r="F493" t="s">
        <v>30</v>
      </c>
      <c r="G493" t="s">
        <v>429</v>
      </c>
      <c r="H493">
        <v>2024</v>
      </c>
      <c r="I493">
        <v>5</v>
      </c>
      <c r="J493" t="s">
        <v>47</v>
      </c>
      <c r="K493" t="s">
        <v>48</v>
      </c>
      <c r="L493" t="s">
        <v>45</v>
      </c>
      <c r="M493">
        <v>1</v>
      </c>
      <c r="N493">
        <v>8</v>
      </c>
      <c r="O493">
        <v>1</v>
      </c>
      <c r="P493">
        <v>2</v>
      </c>
      <c r="Q493">
        <v>68</v>
      </c>
      <c r="R493">
        <v>7</v>
      </c>
      <c r="CC493" t="s">
        <v>28</v>
      </c>
      <c r="CD493">
        <v>71</v>
      </c>
    </row>
    <row r="494" spans="1:82" x14ac:dyDescent="0.25">
      <c r="A494">
        <v>495</v>
      </c>
      <c r="B494" t="s">
        <v>65</v>
      </c>
      <c r="C494" t="s">
        <v>66</v>
      </c>
      <c r="D494" t="s">
        <v>36</v>
      </c>
      <c r="E494" t="s">
        <v>49</v>
      </c>
      <c r="F494" t="s">
        <v>38</v>
      </c>
      <c r="G494" t="s">
        <v>253</v>
      </c>
      <c r="H494">
        <v>2024</v>
      </c>
      <c r="I494">
        <v>5</v>
      </c>
      <c r="J494" t="s">
        <v>47</v>
      </c>
      <c r="K494" t="s">
        <v>48</v>
      </c>
      <c r="L494" t="s">
        <v>77</v>
      </c>
      <c r="M494">
        <v>0</v>
      </c>
      <c r="N494">
        <v>8</v>
      </c>
      <c r="O494">
        <v>0</v>
      </c>
      <c r="P494">
        <v>0</v>
      </c>
      <c r="Q494">
        <v>0</v>
      </c>
      <c r="R494">
        <v>0</v>
      </c>
      <c r="CC494" t="s">
        <v>66</v>
      </c>
      <c r="CD494">
        <v>89</v>
      </c>
    </row>
    <row r="495" spans="1:82" x14ac:dyDescent="0.25">
      <c r="A495">
        <v>496</v>
      </c>
      <c r="B495" t="s">
        <v>122</v>
      </c>
      <c r="C495" t="s">
        <v>123</v>
      </c>
      <c r="D495" t="s">
        <v>20</v>
      </c>
      <c r="E495" t="s">
        <v>21</v>
      </c>
      <c r="F495" t="s">
        <v>71</v>
      </c>
      <c r="G495" t="s">
        <v>55</v>
      </c>
      <c r="H495">
        <v>2024</v>
      </c>
      <c r="I495">
        <v>12</v>
      </c>
      <c r="J495" t="s">
        <v>51</v>
      </c>
      <c r="K495" t="s">
        <v>52</v>
      </c>
      <c r="L495" t="s">
        <v>53</v>
      </c>
      <c r="M495">
        <v>1</v>
      </c>
      <c r="N495">
        <v>8</v>
      </c>
      <c r="O495">
        <v>0</v>
      </c>
      <c r="P495">
        <v>0</v>
      </c>
      <c r="Q495">
        <v>0</v>
      </c>
      <c r="R495">
        <v>0</v>
      </c>
      <c r="CC495" t="s">
        <v>123</v>
      </c>
      <c r="CD495">
        <v>61</v>
      </c>
    </row>
    <row r="496" spans="1:82" x14ac:dyDescent="0.25">
      <c r="A496">
        <v>497</v>
      </c>
      <c r="B496" t="s">
        <v>18</v>
      </c>
      <c r="C496" t="s">
        <v>19</v>
      </c>
      <c r="D496" t="s">
        <v>20</v>
      </c>
      <c r="E496" t="s">
        <v>54</v>
      </c>
      <c r="F496" t="s">
        <v>22</v>
      </c>
      <c r="G496" t="s">
        <v>430</v>
      </c>
      <c r="H496">
        <v>2024</v>
      </c>
      <c r="I496">
        <v>10</v>
      </c>
      <c r="J496" t="s">
        <v>105</v>
      </c>
      <c r="K496" t="s">
        <v>52</v>
      </c>
      <c r="L496" t="s">
        <v>85</v>
      </c>
      <c r="M496">
        <v>0</v>
      </c>
      <c r="N496">
        <v>8</v>
      </c>
      <c r="O496">
        <v>1</v>
      </c>
      <c r="P496">
        <v>3</v>
      </c>
      <c r="Q496">
        <v>64</v>
      </c>
      <c r="R496">
        <v>10</v>
      </c>
      <c r="CC496" t="s">
        <v>19</v>
      </c>
      <c r="CD496">
        <v>77</v>
      </c>
    </row>
    <row r="497" spans="1:82" x14ac:dyDescent="0.25">
      <c r="A497">
        <v>498</v>
      </c>
      <c r="B497" t="s">
        <v>57</v>
      </c>
      <c r="C497" t="s">
        <v>58</v>
      </c>
      <c r="D497" t="s">
        <v>36</v>
      </c>
      <c r="E497" t="s">
        <v>37</v>
      </c>
      <c r="F497" t="s">
        <v>59</v>
      </c>
      <c r="G497" t="s">
        <v>351</v>
      </c>
      <c r="H497">
        <v>2025</v>
      </c>
      <c r="I497">
        <v>10</v>
      </c>
      <c r="J497" t="s">
        <v>105</v>
      </c>
      <c r="K497" t="s">
        <v>52</v>
      </c>
      <c r="L497" t="s">
        <v>77</v>
      </c>
      <c r="M497">
        <v>0</v>
      </c>
      <c r="N497">
        <v>8</v>
      </c>
      <c r="O497">
        <v>1</v>
      </c>
      <c r="P497">
        <v>0</v>
      </c>
      <c r="Q497">
        <v>60</v>
      </c>
      <c r="R497">
        <v>5</v>
      </c>
      <c r="CC497" t="s">
        <v>58</v>
      </c>
      <c r="CD497">
        <v>87</v>
      </c>
    </row>
    <row r="498" spans="1:82" x14ac:dyDescent="0.25">
      <c r="A498">
        <v>499</v>
      </c>
      <c r="B498" t="s">
        <v>34</v>
      </c>
      <c r="C498" t="s">
        <v>35</v>
      </c>
      <c r="D498" t="s">
        <v>36</v>
      </c>
      <c r="E498" t="s">
        <v>21</v>
      </c>
      <c r="F498" t="s">
        <v>38</v>
      </c>
      <c r="G498" t="s">
        <v>245</v>
      </c>
      <c r="H498">
        <v>2024</v>
      </c>
      <c r="I498">
        <v>10</v>
      </c>
      <c r="J498" t="s">
        <v>105</v>
      </c>
      <c r="K498" t="s">
        <v>52</v>
      </c>
      <c r="L498" t="s">
        <v>85</v>
      </c>
      <c r="M498">
        <v>0</v>
      </c>
      <c r="N498">
        <v>8</v>
      </c>
      <c r="O498">
        <v>1</v>
      </c>
      <c r="P498">
        <v>2</v>
      </c>
      <c r="Q498">
        <v>83</v>
      </c>
      <c r="R498">
        <v>6</v>
      </c>
      <c r="CC498" t="s">
        <v>35</v>
      </c>
      <c r="CD498">
        <v>68</v>
      </c>
    </row>
    <row r="499" spans="1:82" x14ac:dyDescent="0.25">
      <c r="A499">
        <v>500</v>
      </c>
      <c r="B499" t="s">
        <v>79</v>
      </c>
      <c r="C499" t="s">
        <v>80</v>
      </c>
      <c r="D499" t="s">
        <v>20</v>
      </c>
      <c r="E499" t="s">
        <v>54</v>
      </c>
      <c r="F499" t="s">
        <v>81</v>
      </c>
      <c r="G499" t="s">
        <v>116</v>
      </c>
      <c r="H499">
        <v>2025</v>
      </c>
      <c r="I499">
        <v>2</v>
      </c>
      <c r="J499" t="s">
        <v>84</v>
      </c>
      <c r="K499" t="s">
        <v>41</v>
      </c>
      <c r="L499" t="s">
        <v>85</v>
      </c>
      <c r="M499">
        <v>0</v>
      </c>
      <c r="N499">
        <v>8</v>
      </c>
      <c r="O499">
        <v>0</v>
      </c>
      <c r="P499">
        <v>0</v>
      </c>
      <c r="Q499">
        <v>0</v>
      </c>
      <c r="R499">
        <v>0</v>
      </c>
      <c r="CC499" t="s">
        <v>80</v>
      </c>
      <c r="CD499">
        <v>83</v>
      </c>
    </row>
  </sheetData>
  <sortState xmlns:xlrd2="http://schemas.microsoft.com/office/spreadsheetml/2017/richdata2" ref="AO2:AO500">
    <sortCondition descending="1" ref="AO1:AO500"/>
  </sortState>
  <mergeCells count="5">
    <mergeCell ref="CT79:CU79"/>
    <mergeCell ref="DF62:DG62"/>
    <mergeCell ref="DA1:DB1"/>
    <mergeCell ref="CX38:CY38"/>
    <mergeCell ref="DA38:DC38"/>
  </mergeCells>
  <pageMargins left="0.75" right="0.75" top="1" bottom="1" header="0.5" footer="0.5"/>
  <tableParts count="1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FDE1-6974-40E5-A48D-1CC57846F817}">
  <dimension ref="A1:E101"/>
  <sheetViews>
    <sheetView workbookViewId="0">
      <selection activeCell="G10" sqref="G10"/>
    </sheetView>
  </sheetViews>
  <sheetFormatPr defaultRowHeight="15" x14ac:dyDescent="0.25"/>
  <cols>
    <col min="1" max="1" width="10.28515625" bestFit="1" customWidth="1"/>
    <col min="2" max="2" width="11.42578125" customWidth="1"/>
    <col min="3" max="3" width="22.5703125" bestFit="1" customWidth="1"/>
    <col min="4" max="4" width="17" bestFit="1" customWidth="1"/>
    <col min="5" max="5" width="18.85546875" customWidth="1"/>
  </cols>
  <sheetData>
    <row r="1" spans="1:5" x14ac:dyDescent="0.25">
      <c r="A1" s="1" t="s">
        <v>459</v>
      </c>
      <c r="B1" s="1" t="s">
        <v>460</v>
      </c>
      <c r="C1" s="1" t="s">
        <v>4</v>
      </c>
      <c r="D1" s="1" t="s">
        <v>453</v>
      </c>
      <c r="E1" s="1" t="s">
        <v>567</v>
      </c>
    </row>
    <row r="2" spans="1:5" x14ac:dyDescent="0.25">
      <c r="A2">
        <v>1</v>
      </c>
      <c r="B2" t="s">
        <v>461</v>
      </c>
      <c r="C2" t="s">
        <v>470</v>
      </c>
      <c r="D2">
        <v>0.9943449342448526</v>
      </c>
      <c r="E2" t="s">
        <v>569</v>
      </c>
    </row>
    <row r="3" spans="1:5" x14ac:dyDescent="0.25">
      <c r="A3">
        <v>2</v>
      </c>
      <c r="B3" t="s">
        <v>463</v>
      </c>
      <c r="C3" t="s">
        <v>470</v>
      </c>
      <c r="D3">
        <v>0.97422887691763671</v>
      </c>
      <c r="E3" t="s">
        <v>569</v>
      </c>
    </row>
    <row r="4" spans="1:5" x14ac:dyDescent="0.25">
      <c r="A4">
        <v>3</v>
      </c>
      <c r="B4" t="s">
        <v>465</v>
      </c>
      <c r="C4" t="s">
        <v>470</v>
      </c>
      <c r="D4">
        <v>0.97318517203549948</v>
      </c>
      <c r="E4" t="s">
        <v>569</v>
      </c>
    </row>
    <row r="5" spans="1:5" x14ac:dyDescent="0.25">
      <c r="A5">
        <v>4</v>
      </c>
      <c r="B5" t="s">
        <v>467</v>
      </c>
      <c r="C5" t="s">
        <v>470</v>
      </c>
      <c r="D5">
        <v>0.96072107579963306</v>
      </c>
      <c r="E5" t="s">
        <v>569</v>
      </c>
    </row>
    <row r="6" spans="1:5" x14ac:dyDescent="0.25">
      <c r="A6">
        <v>5</v>
      </c>
      <c r="B6" t="s">
        <v>469</v>
      </c>
      <c r="C6" t="s">
        <v>470</v>
      </c>
      <c r="D6">
        <v>0.95138424587305437</v>
      </c>
      <c r="E6" t="s">
        <v>569</v>
      </c>
    </row>
    <row r="7" spans="1:5" x14ac:dyDescent="0.25">
      <c r="A7">
        <v>6</v>
      </c>
      <c r="B7" t="s">
        <v>471</v>
      </c>
      <c r="C7" t="s">
        <v>470</v>
      </c>
      <c r="D7">
        <v>0.92653419191971875</v>
      </c>
      <c r="E7" t="s">
        <v>569</v>
      </c>
    </row>
    <row r="8" spans="1:5" x14ac:dyDescent="0.25">
      <c r="A8">
        <v>7</v>
      </c>
      <c r="B8" t="s">
        <v>473</v>
      </c>
      <c r="C8" t="s">
        <v>470</v>
      </c>
      <c r="D8">
        <v>0.91914509639102082</v>
      </c>
      <c r="E8" t="s">
        <v>569</v>
      </c>
    </row>
    <row r="9" spans="1:5" x14ac:dyDescent="0.25">
      <c r="A9">
        <v>8</v>
      </c>
      <c r="B9" t="s">
        <v>474</v>
      </c>
      <c r="C9" t="s">
        <v>470</v>
      </c>
      <c r="D9">
        <v>0.90986998533330887</v>
      </c>
      <c r="E9" t="s">
        <v>569</v>
      </c>
    </row>
    <row r="10" spans="1:5" x14ac:dyDescent="0.25">
      <c r="A10">
        <v>9</v>
      </c>
      <c r="B10" t="s">
        <v>475</v>
      </c>
      <c r="C10" t="s">
        <v>470</v>
      </c>
      <c r="D10">
        <v>0.89139346077141091</v>
      </c>
      <c r="E10" t="s">
        <v>569</v>
      </c>
    </row>
    <row r="11" spans="1:5" x14ac:dyDescent="0.25">
      <c r="A11">
        <v>10</v>
      </c>
      <c r="B11" t="s">
        <v>476</v>
      </c>
      <c r="C11" t="s">
        <v>470</v>
      </c>
      <c r="D11">
        <v>0.88099516089714458</v>
      </c>
      <c r="E11" t="s">
        <v>569</v>
      </c>
    </row>
    <row r="12" spans="1:5" x14ac:dyDescent="0.25">
      <c r="A12">
        <v>11</v>
      </c>
      <c r="B12" t="s">
        <v>477</v>
      </c>
      <c r="C12" t="s">
        <v>470</v>
      </c>
      <c r="D12">
        <v>0.87772056222628925</v>
      </c>
      <c r="E12" t="s">
        <v>569</v>
      </c>
    </row>
    <row r="13" spans="1:5" x14ac:dyDescent="0.25">
      <c r="A13">
        <v>12</v>
      </c>
      <c r="B13" t="s">
        <v>478</v>
      </c>
      <c r="C13" t="s">
        <v>470</v>
      </c>
      <c r="D13">
        <v>0.87702314085796473</v>
      </c>
      <c r="E13" t="s">
        <v>569</v>
      </c>
    </row>
    <row r="14" spans="1:5" x14ac:dyDescent="0.25">
      <c r="A14">
        <v>13</v>
      </c>
      <c r="B14" t="s">
        <v>479</v>
      </c>
      <c r="C14" t="s">
        <v>470</v>
      </c>
      <c r="D14">
        <v>0.86079788210981301</v>
      </c>
      <c r="E14" t="s">
        <v>569</v>
      </c>
    </row>
    <row r="15" spans="1:5" x14ac:dyDescent="0.25">
      <c r="A15">
        <v>14</v>
      </c>
      <c r="B15" t="s">
        <v>480</v>
      </c>
      <c r="C15" t="s">
        <v>470</v>
      </c>
      <c r="D15">
        <v>0.85897891293700401</v>
      </c>
      <c r="E15" t="s">
        <v>569</v>
      </c>
    </row>
    <row r="16" spans="1:5" x14ac:dyDescent="0.25">
      <c r="A16">
        <v>15</v>
      </c>
      <c r="B16" t="s">
        <v>481</v>
      </c>
      <c r="C16" t="s">
        <v>470</v>
      </c>
      <c r="D16">
        <v>0.85383854784127733</v>
      </c>
      <c r="E16" t="s">
        <v>569</v>
      </c>
    </row>
    <row r="17" spans="1:5" x14ac:dyDescent="0.25">
      <c r="A17">
        <v>16</v>
      </c>
      <c r="B17" t="s">
        <v>482</v>
      </c>
      <c r="C17" t="s">
        <v>470</v>
      </c>
      <c r="D17">
        <v>0.85340203815995153</v>
      </c>
      <c r="E17" t="s">
        <v>569</v>
      </c>
    </row>
    <row r="18" spans="1:5" x14ac:dyDescent="0.25">
      <c r="A18">
        <v>17</v>
      </c>
      <c r="B18" t="s">
        <v>483</v>
      </c>
      <c r="C18" t="s">
        <v>464</v>
      </c>
      <c r="D18">
        <v>0.84040668320387935</v>
      </c>
      <c r="E18" t="s">
        <v>570</v>
      </c>
    </row>
    <row r="19" spans="1:5" x14ac:dyDescent="0.25">
      <c r="A19">
        <v>18</v>
      </c>
      <c r="B19" t="s">
        <v>484</v>
      </c>
      <c r="C19" t="s">
        <v>464</v>
      </c>
      <c r="D19">
        <v>0.83525470426776616</v>
      </c>
      <c r="E19" t="s">
        <v>570</v>
      </c>
    </row>
    <row r="20" spans="1:5" x14ac:dyDescent="0.25">
      <c r="A20">
        <v>19</v>
      </c>
      <c r="B20" t="s">
        <v>485</v>
      </c>
      <c r="C20" t="s">
        <v>464</v>
      </c>
      <c r="D20">
        <v>0.81997906724032965</v>
      </c>
      <c r="E20" t="s">
        <v>570</v>
      </c>
    </row>
    <row r="21" spans="1:5" x14ac:dyDescent="0.25">
      <c r="A21">
        <v>20</v>
      </c>
      <c r="B21" t="s">
        <v>486</v>
      </c>
      <c r="C21" t="s">
        <v>464</v>
      </c>
      <c r="D21">
        <v>0.81635088149811108</v>
      </c>
      <c r="E21" t="s">
        <v>570</v>
      </c>
    </row>
    <row r="22" spans="1:5" x14ac:dyDescent="0.25">
      <c r="A22">
        <v>21</v>
      </c>
      <c r="B22" t="s">
        <v>487</v>
      </c>
      <c r="C22" t="s">
        <v>464</v>
      </c>
      <c r="D22">
        <v>0.80758490315647291</v>
      </c>
      <c r="E22" t="s">
        <v>570</v>
      </c>
    </row>
    <row r="23" spans="1:5" x14ac:dyDescent="0.25">
      <c r="A23">
        <v>22</v>
      </c>
      <c r="B23" t="s">
        <v>488</v>
      </c>
      <c r="C23" t="s">
        <v>464</v>
      </c>
      <c r="D23">
        <v>0.78420989977817568</v>
      </c>
      <c r="E23" t="s">
        <v>570</v>
      </c>
    </row>
    <row r="24" spans="1:5" x14ac:dyDescent="0.25">
      <c r="A24">
        <v>23</v>
      </c>
      <c r="B24" t="s">
        <v>489</v>
      </c>
      <c r="C24" t="s">
        <v>464</v>
      </c>
      <c r="D24">
        <v>0.780188567331217</v>
      </c>
      <c r="E24" t="s">
        <v>570</v>
      </c>
    </row>
    <row r="25" spans="1:5" x14ac:dyDescent="0.25">
      <c r="A25">
        <v>24</v>
      </c>
      <c r="B25" t="s">
        <v>490</v>
      </c>
      <c r="C25" t="s">
        <v>464</v>
      </c>
      <c r="D25">
        <v>0.77484078433477122</v>
      </c>
      <c r="E25" t="s">
        <v>570</v>
      </c>
    </row>
    <row r="26" spans="1:5" x14ac:dyDescent="0.25">
      <c r="A26">
        <v>25</v>
      </c>
      <c r="B26" t="s">
        <v>491</v>
      </c>
      <c r="C26" t="s">
        <v>464</v>
      </c>
      <c r="D26">
        <v>0.76134481309386082</v>
      </c>
      <c r="E26" t="s">
        <v>570</v>
      </c>
    </row>
    <row r="27" spans="1:5" x14ac:dyDescent="0.25">
      <c r="A27">
        <v>26</v>
      </c>
      <c r="B27" t="s">
        <v>492</v>
      </c>
      <c r="C27" t="s">
        <v>464</v>
      </c>
      <c r="D27">
        <v>0.70000950479221036</v>
      </c>
      <c r="E27" t="s">
        <v>570</v>
      </c>
    </row>
    <row r="28" spans="1:5" x14ac:dyDescent="0.25">
      <c r="A28">
        <v>27</v>
      </c>
      <c r="B28" t="s">
        <v>493</v>
      </c>
      <c r="C28" t="s">
        <v>464</v>
      </c>
      <c r="D28">
        <v>0.69184477352566121</v>
      </c>
      <c r="E28" t="s">
        <v>570</v>
      </c>
    </row>
    <row r="29" spans="1:5" x14ac:dyDescent="0.25">
      <c r="A29">
        <v>28</v>
      </c>
      <c r="B29" t="s">
        <v>494</v>
      </c>
      <c r="C29" t="s">
        <v>464</v>
      </c>
      <c r="D29">
        <v>0.68674669342323225</v>
      </c>
      <c r="E29" t="s">
        <v>570</v>
      </c>
    </row>
    <row r="30" spans="1:5" x14ac:dyDescent="0.25">
      <c r="A30">
        <v>29</v>
      </c>
      <c r="B30" t="s">
        <v>495</v>
      </c>
      <c r="C30" t="s">
        <v>464</v>
      </c>
      <c r="D30">
        <v>0.68637713915214471</v>
      </c>
      <c r="E30" t="s">
        <v>570</v>
      </c>
    </row>
    <row r="31" spans="1:5" x14ac:dyDescent="0.25">
      <c r="A31">
        <v>30</v>
      </c>
      <c r="B31" t="s">
        <v>496</v>
      </c>
      <c r="C31" t="s">
        <v>464</v>
      </c>
      <c r="D31">
        <v>0.68541726798447</v>
      </c>
      <c r="E31" t="s">
        <v>570</v>
      </c>
    </row>
    <row r="32" spans="1:5" x14ac:dyDescent="0.25">
      <c r="A32">
        <v>31</v>
      </c>
      <c r="B32" t="s">
        <v>497</v>
      </c>
      <c r="C32" t="s">
        <v>464</v>
      </c>
      <c r="D32">
        <v>0.66826698459762923</v>
      </c>
      <c r="E32" t="s">
        <v>570</v>
      </c>
    </row>
    <row r="33" spans="1:5" x14ac:dyDescent="0.25">
      <c r="A33">
        <v>32</v>
      </c>
      <c r="B33" t="s">
        <v>498</v>
      </c>
      <c r="C33" t="s">
        <v>464</v>
      </c>
      <c r="D33">
        <v>0.65567835178823308</v>
      </c>
      <c r="E33" t="s">
        <v>570</v>
      </c>
    </row>
    <row r="34" spans="1:5" x14ac:dyDescent="0.25">
      <c r="A34">
        <v>33</v>
      </c>
      <c r="B34" t="s">
        <v>499</v>
      </c>
      <c r="C34" t="s">
        <v>464</v>
      </c>
      <c r="D34">
        <v>0.65149140917854442</v>
      </c>
      <c r="E34" t="s">
        <v>570</v>
      </c>
    </row>
    <row r="35" spans="1:5" x14ac:dyDescent="0.25">
      <c r="A35">
        <v>34</v>
      </c>
      <c r="B35" t="s">
        <v>500</v>
      </c>
      <c r="C35" t="s">
        <v>462</v>
      </c>
      <c r="D35">
        <v>0.65042159059993687</v>
      </c>
      <c r="E35" t="s">
        <v>571</v>
      </c>
    </row>
    <row r="36" spans="1:5" x14ac:dyDescent="0.25">
      <c r="A36">
        <v>35</v>
      </c>
      <c r="B36" t="s">
        <v>501</v>
      </c>
      <c r="C36" t="s">
        <v>462</v>
      </c>
      <c r="D36">
        <v>0.64336054341166271</v>
      </c>
      <c r="E36" t="s">
        <v>571</v>
      </c>
    </row>
    <row r="37" spans="1:5" x14ac:dyDescent="0.25">
      <c r="A37">
        <v>36</v>
      </c>
      <c r="B37" t="s">
        <v>502</v>
      </c>
      <c r="C37" t="s">
        <v>462</v>
      </c>
      <c r="D37">
        <v>0.63902090195134287</v>
      </c>
      <c r="E37" t="s">
        <v>571</v>
      </c>
    </row>
    <row r="38" spans="1:5" x14ac:dyDescent="0.25">
      <c r="A38">
        <v>37</v>
      </c>
      <c r="B38" t="s">
        <v>503</v>
      </c>
      <c r="C38" t="s">
        <v>462</v>
      </c>
      <c r="D38">
        <v>0.60423855225095724</v>
      </c>
      <c r="E38" t="s">
        <v>571</v>
      </c>
    </row>
    <row r="39" spans="1:5" x14ac:dyDescent="0.25">
      <c r="A39">
        <v>38</v>
      </c>
      <c r="B39" t="s">
        <v>504</v>
      </c>
      <c r="C39" t="s">
        <v>462</v>
      </c>
      <c r="D39">
        <v>0.60149902236379316</v>
      </c>
      <c r="E39" t="s">
        <v>571</v>
      </c>
    </row>
    <row r="40" spans="1:5" x14ac:dyDescent="0.25">
      <c r="A40">
        <v>39</v>
      </c>
      <c r="B40" t="s">
        <v>505</v>
      </c>
      <c r="C40" t="s">
        <v>462</v>
      </c>
      <c r="D40">
        <v>0.5916903395267229</v>
      </c>
      <c r="E40" t="s">
        <v>571</v>
      </c>
    </row>
    <row r="41" spans="1:5" x14ac:dyDescent="0.25">
      <c r="A41">
        <v>40</v>
      </c>
      <c r="B41" t="s">
        <v>506</v>
      </c>
      <c r="C41" t="s">
        <v>462</v>
      </c>
      <c r="D41">
        <v>0.58222083649539891</v>
      </c>
      <c r="E41" t="s">
        <v>571</v>
      </c>
    </row>
    <row r="42" spans="1:5" x14ac:dyDescent="0.25">
      <c r="A42">
        <v>41</v>
      </c>
      <c r="B42" t="s">
        <v>507</v>
      </c>
      <c r="C42" t="s">
        <v>462</v>
      </c>
      <c r="D42">
        <v>0.57985048838410946</v>
      </c>
      <c r="E42" t="s">
        <v>571</v>
      </c>
    </row>
    <row r="43" spans="1:5" x14ac:dyDescent="0.25">
      <c r="A43">
        <v>42</v>
      </c>
      <c r="B43" t="s">
        <v>508</v>
      </c>
      <c r="C43" t="s">
        <v>462</v>
      </c>
      <c r="D43">
        <v>0.57501133838745788</v>
      </c>
      <c r="E43" t="s">
        <v>571</v>
      </c>
    </row>
    <row r="44" spans="1:5" x14ac:dyDescent="0.25">
      <c r="A44">
        <v>43</v>
      </c>
      <c r="B44" t="s">
        <v>509</v>
      </c>
      <c r="C44" t="s">
        <v>462</v>
      </c>
      <c r="D44">
        <v>0.56949703088380599</v>
      </c>
      <c r="E44" t="s">
        <v>571</v>
      </c>
    </row>
    <row r="45" spans="1:5" x14ac:dyDescent="0.25">
      <c r="A45">
        <v>44</v>
      </c>
      <c r="B45" t="s">
        <v>510</v>
      </c>
      <c r="C45" t="s">
        <v>462</v>
      </c>
      <c r="D45">
        <v>0.54403291353859273</v>
      </c>
      <c r="E45" t="s">
        <v>571</v>
      </c>
    </row>
    <row r="46" spans="1:5" x14ac:dyDescent="0.25">
      <c r="A46">
        <v>45</v>
      </c>
      <c r="B46" t="s">
        <v>511</v>
      </c>
      <c r="C46" t="s">
        <v>462</v>
      </c>
      <c r="D46">
        <v>0.5380761899314308</v>
      </c>
      <c r="E46" t="s">
        <v>571</v>
      </c>
    </row>
    <row r="47" spans="1:5" x14ac:dyDescent="0.25">
      <c r="A47">
        <v>46</v>
      </c>
      <c r="B47" t="s">
        <v>512</v>
      </c>
      <c r="C47" t="s">
        <v>462</v>
      </c>
      <c r="D47">
        <v>0.53441300902961031</v>
      </c>
      <c r="E47" t="s">
        <v>571</v>
      </c>
    </row>
    <row r="48" spans="1:5" x14ac:dyDescent="0.25">
      <c r="A48">
        <v>47</v>
      </c>
      <c r="B48" t="s">
        <v>513</v>
      </c>
      <c r="C48" t="s">
        <v>462</v>
      </c>
      <c r="D48">
        <v>0.50760168722791077</v>
      </c>
      <c r="E48" t="s">
        <v>571</v>
      </c>
    </row>
    <row r="49" spans="1:5" x14ac:dyDescent="0.25">
      <c r="A49">
        <v>48</v>
      </c>
      <c r="B49" t="s">
        <v>514</v>
      </c>
      <c r="C49" t="s">
        <v>462</v>
      </c>
      <c r="D49">
        <v>0.49411214165419093</v>
      </c>
      <c r="E49" t="s">
        <v>571</v>
      </c>
    </row>
    <row r="50" spans="1:5" x14ac:dyDescent="0.25">
      <c r="A50">
        <v>49</v>
      </c>
      <c r="B50" t="s">
        <v>515</v>
      </c>
      <c r="C50" t="s">
        <v>462</v>
      </c>
      <c r="D50">
        <v>0.49317845904722923</v>
      </c>
      <c r="E50" t="s">
        <v>571</v>
      </c>
    </row>
    <row r="51" spans="1:5" x14ac:dyDescent="0.25">
      <c r="A51">
        <v>50</v>
      </c>
      <c r="B51" t="s">
        <v>516</v>
      </c>
      <c r="C51" t="s">
        <v>462</v>
      </c>
      <c r="D51">
        <v>0.49141727409498093</v>
      </c>
      <c r="E51" t="s">
        <v>571</v>
      </c>
    </row>
    <row r="52" spans="1:5" x14ac:dyDescent="0.25">
      <c r="A52">
        <v>51</v>
      </c>
      <c r="B52" t="s">
        <v>517</v>
      </c>
      <c r="C52" t="s">
        <v>466</v>
      </c>
      <c r="D52">
        <v>0.48412103806510653</v>
      </c>
      <c r="E52" t="s">
        <v>36</v>
      </c>
    </row>
    <row r="53" spans="1:5" x14ac:dyDescent="0.25">
      <c r="A53">
        <v>52</v>
      </c>
      <c r="B53" t="s">
        <v>518</v>
      </c>
      <c r="C53" t="s">
        <v>466</v>
      </c>
      <c r="D53">
        <v>0.46695416999473527</v>
      </c>
      <c r="E53" t="s">
        <v>36</v>
      </c>
    </row>
    <row r="54" spans="1:5" x14ac:dyDescent="0.25">
      <c r="A54">
        <v>53</v>
      </c>
      <c r="B54" t="s">
        <v>519</v>
      </c>
      <c r="C54" t="s">
        <v>466</v>
      </c>
      <c r="D54">
        <v>0.46426059217082105</v>
      </c>
      <c r="E54" t="s">
        <v>36</v>
      </c>
    </row>
    <row r="55" spans="1:5" x14ac:dyDescent="0.25">
      <c r="A55">
        <v>54</v>
      </c>
      <c r="B55" t="s">
        <v>520</v>
      </c>
      <c r="C55" t="s">
        <v>466</v>
      </c>
      <c r="D55">
        <v>0.46375108698106426</v>
      </c>
      <c r="E55" t="s">
        <v>36</v>
      </c>
    </row>
    <row r="56" spans="1:5" x14ac:dyDescent="0.25">
      <c r="A56">
        <v>55</v>
      </c>
      <c r="B56" t="s">
        <v>521</v>
      </c>
      <c r="C56" t="s">
        <v>466</v>
      </c>
      <c r="D56">
        <v>0.46188798577055612</v>
      </c>
      <c r="E56" t="s">
        <v>36</v>
      </c>
    </row>
    <row r="57" spans="1:5" x14ac:dyDescent="0.25">
      <c r="A57">
        <v>56</v>
      </c>
      <c r="B57" t="s">
        <v>522</v>
      </c>
      <c r="C57" t="s">
        <v>466</v>
      </c>
      <c r="D57">
        <v>0.44233101393750285</v>
      </c>
      <c r="E57" t="s">
        <v>36</v>
      </c>
    </row>
    <row r="58" spans="1:5" x14ac:dyDescent="0.25">
      <c r="A58">
        <v>57</v>
      </c>
      <c r="B58" t="s">
        <v>523</v>
      </c>
      <c r="C58" t="s">
        <v>466</v>
      </c>
      <c r="D58">
        <v>0.43285821510912492</v>
      </c>
      <c r="E58" t="s">
        <v>36</v>
      </c>
    </row>
    <row r="59" spans="1:5" x14ac:dyDescent="0.25">
      <c r="A59">
        <v>58</v>
      </c>
      <c r="B59" t="s">
        <v>524</v>
      </c>
      <c r="C59" t="s">
        <v>466</v>
      </c>
      <c r="D59">
        <v>0.41949820129730997</v>
      </c>
      <c r="E59" t="s">
        <v>36</v>
      </c>
    </row>
    <row r="60" spans="1:5" x14ac:dyDescent="0.25">
      <c r="A60">
        <v>59</v>
      </c>
      <c r="B60" t="s">
        <v>525</v>
      </c>
      <c r="C60" t="s">
        <v>466</v>
      </c>
      <c r="D60">
        <v>0.4153776561733129</v>
      </c>
      <c r="E60" t="s">
        <v>36</v>
      </c>
    </row>
    <row r="61" spans="1:5" x14ac:dyDescent="0.25">
      <c r="A61">
        <v>60</v>
      </c>
      <c r="B61" t="s">
        <v>526</v>
      </c>
      <c r="C61" t="s">
        <v>466</v>
      </c>
      <c r="D61">
        <v>0.40181858980101492</v>
      </c>
      <c r="E61" t="s">
        <v>36</v>
      </c>
    </row>
    <row r="62" spans="1:5" x14ac:dyDescent="0.25">
      <c r="A62">
        <v>61</v>
      </c>
      <c r="B62" t="s">
        <v>527</v>
      </c>
      <c r="C62" t="s">
        <v>466</v>
      </c>
      <c r="D62">
        <v>0.39619606089674864</v>
      </c>
      <c r="E62" t="s">
        <v>36</v>
      </c>
    </row>
    <row r="63" spans="1:5" x14ac:dyDescent="0.25">
      <c r="A63">
        <v>62</v>
      </c>
      <c r="B63" t="s">
        <v>528</v>
      </c>
      <c r="C63" t="s">
        <v>466</v>
      </c>
      <c r="D63">
        <v>0.38517198576800205</v>
      </c>
      <c r="E63" t="s">
        <v>36</v>
      </c>
    </row>
    <row r="64" spans="1:5" x14ac:dyDescent="0.25">
      <c r="A64">
        <v>63</v>
      </c>
      <c r="B64" t="s">
        <v>529</v>
      </c>
      <c r="C64" t="s">
        <v>466</v>
      </c>
      <c r="D64">
        <v>0.38435192121262085</v>
      </c>
      <c r="E64" t="s">
        <v>36</v>
      </c>
    </row>
    <row r="65" spans="1:5" x14ac:dyDescent="0.25">
      <c r="A65">
        <v>64</v>
      </c>
      <c r="B65" t="s">
        <v>530</v>
      </c>
      <c r="C65" t="s">
        <v>466</v>
      </c>
      <c r="D65">
        <v>0.38088238847750788</v>
      </c>
      <c r="E65" t="s">
        <v>36</v>
      </c>
    </row>
    <row r="66" spans="1:5" x14ac:dyDescent="0.25">
      <c r="A66">
        <v>65</v>
      </c>
      <c r="B66" t="s">
        <v>531</v>
      </c>
      <c r="C66" t="s">
        <v>466</v>
      </c>
      <c r="D66">
        <v>0.37705793295287426</v>
      </c>
      <c r="E66" t="s">
        <v>36</v>
      </c>
    </row>
    <row r="67" spans="1:5" x14ac:dyDescent="0.25">
      <c r="A67">
        <v>66</v>
      </c>
      <c r="B67" t="s">
        <v>532</v>
      </c>
      <c r="C67" t="s">
        <v>466</v>
      </c>
      <c r="D67">
        <v>0.37343367559662144</v>
      </c>
      <c r="E67" t="s">
        <v>36</v>
      </c>
    </row>
    <row r="68" spans="1:5" x14ac:dyDescent="0.25">
      <c r="A68">
        <v>67</v>
      </c>
      <c r="B68" t="s">
        <v>533</v>
      </c>
      <c r="C68" t="s">
        <v>466</v>
      </c>
      <c r="D68">
        <v>0.36849126202332316</v>
      </c>
      <c r="E68" t="s">
        <v>36</v>
      </c>
    </row>
    <row r="69" spans="1:5" x14ac:dyDescent="0.25">
      <c r="A69">
        <v>68</v>
      </c>
      <c r="B69" t="s">
        <v>534</v>
      </c>
      <c r="C69" t="s">
        <v>472</v>
      </c>
      <c r="D69">
        <v>0.3629484962763172</v>
      </c>
      <c r="E69" t="s">
        <v>573</v>
      </c>
    </row>
    <row r="70" spans="1:5" x14ac:dyDescent="0.25">
      <c r="A70">
        <v>69</v>
      </c>
      <c r="B70" t="s">
        <v>535</v>
      </c>
      <c r="C70" t="s">
        <v>472</v>
      </c>
      <c r="D70">
        <v>0.34139000029898903</v>
      </c>
      <c r="E70" t="s">
        <v>573</v>
      </c>
    </row>
    <row r="71" spans="1:5" x14ac:dyDescent="0.25">
      <c r="A71">
        <v>70</v>
      </c>
      <c r="B71" t="s">
        <v>536</v>
      </c>
      <c r="C71" t="s">
        <v>472</v>
      </c>
      <c r="D71">
        <v>0.32172336985761263</v>
      </c>
      <c r="E71" t="s">
        <v>573</v>
      </c>
    </row>
    <row r="72" spans="1:5" x14ac:dyDescent="0.25">
      <c r="A72">
        <v>71</v>
      </c>
      <c r="B72" t="s">
        <v>537</v>
      </c>
      <c r="C72" t="s">
        <v>472</v>
      </c>
      <c r="D72">
        <v>0.31891545613565275</v>
      </c>
      <c r="E72" t="s">
        <v>573</v>
      </c>
    </row>
    <row r="73" spans="1:5" x14ac:dyDescent="0.25">
      <c r="A73">
        <v>72</v>
      </c>
      <c r="B73" t="s">
        <v>538</v>
      </c>
      <c r="C73" t="s">
        <v>472</v>
      </c>
      <c r="D73">
        <v>0.30755991861376197</v>
      </c>
      <c r="E73" t="s">
        <v>573</v>
      </c>
    </row>
    <row r="74" spans="1:5" x14ac:dyDescent="0.25">
      <c r="A74">
        <v>73</v>
      </c>
      <c r="B74" t="s">
        <v>539</v>
      </c>
      <c r="C74" t="s">
        <v>472</v>
      </c>
      <c r="D74">
        <v>0.30421980308852126</v>
      </c>
      <c r="E74" t="s">
        <v>573</v>
      </c>
    </row>
    <row r="75" spans="1:5" x14ac:dyDescent="0.25">
      <c r="A75">
        <v>74</v>
      </c>
      <c r="B75" t="s">
        <v>540</v>
      </c>
      <c r="C75" t="s">
        <v>472</v>
      </c>
      <c r="D75">
        <v>0.2949540285153327</v>
      </c>
      <c r="E75" t="s">
        <v>573</v>
      </c>
    </row>
    <row r="76" spans="1:5" x14ac:dyDescent="0.25">
      <c r="A76">
        <v>75</v>
      </c>
      <c r="B76" t="s">
        <v>541</v>
      </c>
      <c r="C76" t="s">
        <v>472</v>
      </c>
      <c r="D76">
        <v>0.28747477512557063</v>
      </c>
      <c r="E76" t="s">
        <v>573</v>
      </c>
    </row>
    <row r="77" spans="1:5" x14ac:dyDescent="0.25">
      <c r="A77">
        <v>76</v>
      </c>
      <c r="B77" t="s">
        <v>542</v>
      </c>
      <c r="C77" t="s">
        <v>472</v>
      </c>
      <c r="D77">
        <v>0.28650498972118144</v>
      </c>
      <c r="E77" t="s">
        <v>573</v>
      </c>
    </row>
    <row r="78" spans="1:5" x14ac:dyDescent="0.25">
      <c r="A78">
        <v>77</v>
      </c>
      <c r="B78" t="s">
        <v>543</v>
      </c>
      <c r="C78" t="s">
        <v>472</v>
      </c>
      <c r="D78">
        <v>0.2642475867834988</v>
      </c>
      <c r="E78" t="s">
        <v>573</v>
      </c>
    </row>
    <row r="79" spans="1:5" x14ac:dyDescent="0.25">
      <c r="A79">
        <v>78</v>
      </c>
      <c r="B79" t="s">
        <v>544</v>
      </c>
      <c r="C79" t="s">
        <v>472</v>
      </c>
      <c r="D79">
        <v>0.25311667522907166</v>
      </c>
      <c r="E79" t="s">
        <v>573</v>
      </c>
    </row>
    <row r="80" spans="1:5" x14ac:dyDescent="0.25">
      <c r="A80">
        <v>79</v>
      </c>
      <c r="B80" t="s">
        <v>545</v>
      </c>
      <c r="C80" t="s">
        <v>472</v>
      </c>
      <c r="D80">
        <v>0.24532909213423026</v>
      </c>
      <c r="E80" t="s">
        <v>573</v>
      </c>
    </row>
    <row r="81" spans="1:5" x14ac:dyDescent="0.25">
      <c r="A81">
        <v>80</v>
      </c>
      <c r="B81" t="s">
        <v>546</v>
      </c>
      <c r="C81" t="s">
        <v>472</v>
      </c>
      <c r="D81">
        <v>0.23975939357486609</v>
      </c>
      <c r="E81" t="s">
        <v>573</v>
      </c>
    </row>
    <row r="82" spans="1:5" x14ac:dyDescent="0.25">
      <c r="A82">
        <v>81</v>
      </c>
      <c r="B82" t="s">
        <v>547</v>
      </c>
      <c r="C82" t="s">
        <v>472</v>
      </c>
      <c r="D82">
        <v>0.23820500837436465</v>
      </c>
      <c r="E82" t="s">
        <v>573</v>
      </c>
    </row>
    <row r="83" spans="1:5" x14ac:dyDescent="0.25">
      <c r="A83">
        <v>82</v>
      </c>
      <c r="B83" t="s">
        <v>548</v>
      </c>
      <c r="C83" t="s">
        <v>472</v>
      </c>
      <c r="D83">
        <v>0.23184862764901437</v>
      </c>
      <c r="E83" t="s">
        <v>573</v>
      </c>
    </row>
    <row r="84" spans="1:5" x14ac:dyDescent="0.25">
      <c r="A84">
        <v>83</v>
      </c>
      <c r="B84" t="s">
        <v>549</v>
      </c>
      <c r="C84" t="s">
        <v>472</v>
      </c>
      <c r="D84">
        <v>0.23141753151596234</v>
      </c>
      <c r="E84" t="s">
        <v>573</v>
      </c>
    </row>
    <row r="85" spans="1:5" x14ac:dyDescent="0.25">
      <c r="A85">
        <v>84</v>
      </c>
      <c r="B85" t="s">
        <v>550</v>
      </c>
      <c r="C85" t="s">
        <v>468</v>
      </c>
      <c r="D85">
        <v>0.21769453375996095</v>
      </c>
      <c r="E85" t="s">
        <v>36</v>
      </c>
    </row>
    <row r="86" spans="1:5" x14ac:dyDescent="0.25">
      <c r="A86">
        <v>85</v>
      </c>
      <c r="B86" t="s">
        <v>551</v>
      </c>
      <c r="C86" t="s">
        <v>468</v>
      </c>
      <c r="D86">
        <v>0.21735287974339612</v>
      </c>
      <c r="E86" t="s">
        <v>36</v>
      </c>
    </row>
    <row r="87" spans="1:5" x14ac:dyDescent="0.25">
      <c r="A87">
        <v>86</v>
      </c>
      <c r="B87" t="s">
        <v>552</v>
      </c>
      <c r="C87" t="s">
        <v>468</v>
      </c>
      <c r="D87">
        <v>0.21674767570613662</v>
      </c>
      <c r="E87" t="s">
        <v>36</v>
      </c>
    </row>
    <row r="88" spans="1:5" x14ac:dyDescent="0.25">
      <c r="A88">
        <v>87</v>
      </c>
      <c r="B88" t="s">
        <v>553</v>
      </c>
      <c r="C88" t="s">
        <v>468</v>
      </c>
      <c r="D88">
        <v>0.21619801850725051</v>
      </c>
      <c r="E88" t="s">
        <v>36</v>
      </c>
    </row>
    <row r="89" spans="1:5" x14ac:dyDescent="0.25">
      <c r="A89">
        <v>88</v>
      </c>
      <c r="B89" t="s">
        <v>554</v>
      </c>
      <c r="C89" t="s">
        <v>468</v>
      </c>
      <c r="D89">
        <v>0.21485286242231882</v>
      </c>
      <c r="E89" t="s">
        <v>36</v>
      </c>
    </row>
    <row r="90" spans="1:5" x14ac:dyDescent="0.25">
      <c r="A90">
        <v>89</v>
      </c>
      <c r="B90" t="s">
        <v>555</v>
      </c>
      <c r="C90" t="s">
        <v>468</v>
      </c>
      <c r="D90">
        <v>0.18807995379967335</v>
      </c>
      <c r="E90" t="s">
        <v>36</v>
      </c>
    </row>
    <row r="91" spans="1:5" x14ac:dyDescent="0.25">
      <c r="A91">
        <v>90</v>
      </c>
      <c r="B91" t="s">
        <v>556</v>
      </c>
      <c r="C91" t="s">
        <v>468</v>
      </c>
      <c r="D91">
        <v>0.17312856097628693</v>
      </c>
      <c r="E91" t="s">
        <v>36</v>
      </c>
    </row>
    <row r="92" spans="1:5" x14ac:dyDescent="0.25">
      <c r="A92">
        <v>91</v>
      </c>
      <c r="B92" t="s">
        <v>557</v>
      </c>
      <c r="C92" t="s">
        <v>468</v>
      </c>
      <c r="D92">
        <v>0.17031860221636497</v>
      </c>
      <c r="E92" t="s">
        <v>36</v>
      </c>
    </row>
    <row r="93" spans="1:5" x14ac:dyDescent="0.25">
      <c r="A93">
        <v>92</v>
      </c>
      <c r="B93" t="s">
        <v>558</v>
      </c>
      <c r="C93" t="s">
        <v>468</v>
      </c>
      <c r="D93">
        <v>0.16534447279587017</v>
      </c>
      <c r="E93" t="s">
        <v>36</v>
      </c>
    </row>
    <row r="94" spans="1:5" x14ac:dyDescent="0.25">
      <c r="A94">
        <v>93</v>
      </c>
      <c r="B94" t="s">
        <v>559</v>
      </c>
      <c r="C94" t="s">
        <v>468</v>
      </c>
      <c r="D94">
        <v>0.12933236503209533</v>
      </c>
      <c r="E94" t="s">
        <v>36</v>
      </c>
    </row>
    <row r="95" spans="1:5" x14ac:dyDescent="0.25">
      <c r="A95">
        <v>94</v>
      </c>
      <c r="B95" t="s">
        <v>560</v>
      </c>
      <c r="C95" t="s">
        <v>468</v>
      </c>
      <c r="D95">
        <v>0.10327850265711713</v>
      </c>
      <c r="E95" t="s">
        <v>36</v>
      </c>
    </row>
    <row r="96" spans="1:5" x14ac:dyDescent="0.25">
      <c r="A96">
        <v>95</v>
      </c>
      <c r="B96" t="s">
        <v>561</v>
      </c>
      <c r="C96" t="s">
        <v>468</v>
      </c>
      <c r="D96">
        <v>9.1793736085011957E-2</v>
      </c>
      <c r="E96" t="s">
        <v>36</v>
      </c>
    </row>
    <row r="97" spans="1:5" x14ac:dyDescent="0.25">
      <c r="A97">
        <v>96</v>
      </c>
      <c r="B97" t="s">
        <v>562</v>
      </c>
      <c r="C97" t="s">
        <v>468</v>
      </c>
      <c r="D97">
        <v>8.8733284280525293E-2</v>
      </c>
      <c r="E97" t="s">
        <v>36</v>
      </c>
    </row>
    <row r="98" spans="1:5" x14ac:dyDescent="0.25">
      <c r="A98">
        <v>97</v>
      </c>
      <c r="B98" t="s">
        <v>563</v>
      </c>
      <c r="C98" t="s">
        <v>468</v>
      </c>
      <c r="D98">
        <v>5.4548272175817702E-2</v>
      </c>
      <c r="E98" t="s">
        <v>36</v>
      </c>
    </row>
    <row r="99" spans="1:5" x14ac:dyDescent="0.25">
      <c r="A99">
        <v>98</v>
      </c>
      <c r="B99" t="s">
        <v>564</v>
      </c>
      <c r="C99" t="s">
        <v>468</v>
      </c>
      <c r="D99">
        <v>5.1565855449651976E-2</v>
      </c>
      <c r="E99" t="s">
        <v>36</v>
      </c>
    </row>
    <row r="100" spans="1:5" x14ac:dyDescent="0.25">
      <c r="A100">
        <v>99</v>
      </c>
      <c r="B100" t="s">
        <v>565</v>
      </c>
      <c r="C100" t="s">
        <v>468</v>
      </c>
      <c r="D100">
        <v>4.3452813582070648E-2</v>
      </c>
      <c r="E100" t="s">
        <v>36</v>
      </c>
    </row>
    <row r="101" spans="1:5" x14ac:dyDescent="0.25">
      <c r="A101">
        <v>100</v>
      </c>
      <c r="B101" t="s">
        <v>566</v>
      </c>
      <c r="C101" t="s">
        <v>468</v>
      </c>
      <c r="D101">
        <v>2.3528576825188052E-2</v>
      </c>
      <c r="E10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C51F-7BF8-4CDB-B8B4-C1F7A1C44214}">
  <dimension ref="A1:E101"/>
  <sheetViews>
    <sheetView workbookViewId="0">
      <selection activeCell="I11" sqref="I11"/>
    </sheetView>
  </sheetViews>
  <sheetFormatPr defaultRowHeight="15" x14ac:dyDescent="0.25"/>
  <cols>
    <col min="1" max="1" width="10.28515625" bestFit="1" customWidth="1"/>
    <col min="2" max="2" width="11.42578125" customWidth="1"/>
    <col min="3" max="3" width="22.5703125" bestFit="1" customWidth="1"/>
    <col min="4" max="4" width="17" bestFit="1" customWidth="1"/>
    <col min="5" max="5" width="19.28515625" customWidth="1"/>
  </cols>
  <sheetData>
    <row r="1" spans="1:5" x14ac:dyDescent="0.25">
      <c r="A1" s="1" t="s">
        <v>459</v>
      </c>
      <c r="B1" s="1" t="s">
        <v>460</v>
      </c>
      <c r="C1" s="1" t="s">
        <v>4</v>
      </c>
      <c r="D1" s="1" t="s">
        <v>453</v>
      </c>
      <c r="E1" s="1" t="s">
        <v>454</v>
      </c>
    </row>
    <row r="2" spans="1:5" x14ac:dyDescent="0.25">
      <c r="A2">
        <v>1</v>
      </c>
      <c r="B2" t="s">
        <v>461</v>
      </c>
      <c r="C2" t="s">
        <v>470</v>
      </c>
      <c r="D2">
        <v>0.9943449342448526</v>
      </c>
      <c r="E2" t="str">
        <f>IF(MOD(A2-2,10)=0,"seleted","")</f>
        <v/>
      </c>
    </row>
    <row r="3" spans="1:5" x14ac:dyDescent="0.25">
      <c r="A3">
        <v>2</v>
      </c>
      <c r="B3" t="s">
        <v>463</v>
      </c>
      <c r="C3" t="s">
        <v>470</v>
      </c>
      <c r="D3">
        <v>0.97422887691763671</v>
      </c>
      <c r="E3" t="str">
        <f t="shared" ref="E3:E66" si="0">IF(MOD(A3-2,10)=0,"seleted","")</f>
        <v>seleted</v>
      </c>
    </row>
    <row r="4" spans="1:5" x14ac:dyDescent="0.25">
      <c r="A4">
        <v>3</v>
      </c>
      <c r="B4" t="s">
        <v>465</v>
      </c>
      <c r="C4" t="s">
        <v>470</v>
      </c>
      <c r="D4">
        <v>0.97318517203549948</v>
      </c>
      <c r="E4" t="str">
        <f t="shared" si="0"/>
        <v/>
      </c>
    </row>
    <row r="5" spans="1:5" x14ac:dyDescent="0.25">
      <c r="A5">
        <v>4</v>
      </c>
      <c r="B5" t="s">
        <v>467</v>
      </c>
      <c r="C5" t="s">
        <v>470</v>
      </c>
      <c r="D5">
        <v>0.96072107579963306</v>
      </c>
      <c r="E5" t="str">
        <f t="shared" si="0"/>
        <v/>
      </c>
    </row>
    <row r="6" spans="1:5" x14ac:dyDescent="0.25">
      <c r="A6">
        <v>5</v>
      </c>
      <c r="B6" t="s">
        <v>469</v>
      </c>
      <c r="C6" t="s">
        <v>470</v>
      </c>
      <c r="D6">
        <v>0.95138424587305437</v>
      </c>
      <c r="E6" t="str">
        <f t="shared" si="0"/>
        <v/>
      </c>
    </row>
    <row r="7" spans="1:5" x14ac:dyDescent="0.25">
      <c r="A7">
        <v>6</v>
      </c>
      <c r="B7" t="s">
        <v>471</v>
      </c>
      <c r="C7" t="s">
        <v>470</v>
      </c>
      <c r="D7">
        <v>0.92653419191971875</v>
      </c>
      <c r="E7" t="str">
        <f t="shared" si="0"/>
        <v/>
      </c>
    </row>
    <row r="8" spans="1:5" x14ac:dyDescent="0.25">
      <c r="A8">
        <v>7</v>
      </c>
      <c r="B8" t="s">
        <v>473</v>
      </c>
      <c r="C8" t="s">
        <v>470</v>
      </c>
      <c r="D8">
        <v>0.91914509639102082</v>
      </c>
      <c r="E8" t="str">
        <f t="shared" si="0"/>
        <v/>
      </c>
    </row>
    <row r="9" spans="1:5" x14ac:dyDescent="0.25">
      <c r="A9">
        <v>8</v>
      </c>
      <c r="B9" t="s">
        <v>474</v>
      </c>
      <c r="C9" t="s">
        <v>470</v>
      </c>
      <c r="D9">
        <v>0.90986998533330887</v>
      </c>
      <c r="E9" t="str">
        <f t="shared" si="0"/>
        <v/>
      </c>
    </row>
    <row r="10" spans="1:5" x14ac:dyDescent="0.25">
      <c r="A10">
        <v>9</v>
      </c>
      <c r="B10" t="s">
        <v>475</v>
      </c>
      <c r="C10" t="s">
        <v>470</v>
      </c>
      <c r="D10">
        <v>0.89139346077141091</v>
      </c>
      <c r="E10" t="str">
        <f t="shared" si="0"/>
        <v/>
      </c>
    </row>
    <row r="11" spans="1:5" x14ac:dyDescent="0.25">
      <c r="A11">
        <v>10</v>
      </c>
      <c r="B11" t="s">
        <v>476</v>
      </c>
      <c r="C11" t="s">
        <v>470</v>
      </c>
      <c r="D11">
        <v>0.88099516089714458</v>
      </c>
      <c r="E11" t="str">
        <f t="shared" si="0"/>
        <v/>
      </c>
    </row>
    <row r="12" spans="1:5" x14ac:dyDescent="0.25">
      <c r="A12">
        <v>11</v>
      </c>
      <c r="B12" t="s">
        <v>477</v>
      </c>
      <c r="C12" t="s">
        <v>470</v>
      </c>
      <c r="D12">
        <v>0.87772056222628925</v>
      </c>
      <c r="E12" t="str">
        <f t="shared" si="0"/>
        <v/>
      </c>
    </row>
    <row r="13" spans="1:5" x14ac:dyDescent="0.25">
      <c r="A13">
        <v>12</v>
      </c>
      <c r="B13" t="s">
        <v>478</v>
      </c>
      <c r="C13" t="s">
        <v>470</v>
      </c>
      <c r="D13">
        <v>0.87702314085796473</v>
      </c>
      <c r="E13" t="str">
        <f t="shared" si="0"/>
        <v>seleted</v>
      </c>
    </row>
    <row r="14" spans="1:5" x14ac:dyDescent="0.25">
      <c r="A14">
        <v>13</v>
      </c>
      <c r="B14" t="s">
        <v>479</v>
      </c>
      <c r="C14" t="s">
        <v>470</v>
      </c>
      <c r="D14">
        <v>0.86079788210981301</v>
      </c>
      <c r="E14" t="str">
        <f t="shared" si="0"/>
        <v/>
      </c>
    </row>
    <row r="15" spans="1:5" x14ac:dyDescent="0.25">
      <c r="A15">
        <v>14</v>
      </c>
      <c r="B15" t="s">
        <v>480</v>
      </c>
      <c r="C15" t="s">
        <v>470</v>
      </c>
      <c r="D15">
        <v>0.85897891293700401</v>
      </c>
      <c r="E15" t="str">
        <f t="shared" si="0"/>
        <v/>
      </c>
    </row>
    <row r="16" spans="1:5" x14ac:dyDescent="0.25">
      <c r="A16">
        <v>15</v>
      </c>
      <c r="B16" t="s">
        <v>481</v>
      </c>
      <c r="C16" t="s">
        <v>470</v>
      </c>
      <c r="D16">
        <v>0.85383854784127733</v>
      </c>
      <c r="E16" t="str">
        <f t="shared" si="0"/>
        <v/>
      </c>
    </row>
    <row r="17" spans="1:5" x14ac:dyDescent="0.25">
      <c r="A17">
        <v>16</v>
      </c>
      <c r="B17" t="s">
        <v>482</v>
      </c>
      <c r="C17" t="s">
        <v>470</v>
      </c>
      <c r="D17">
        <v>0.85340203815995153</v>
      </c>
      <c r="E17" t="str">
        <f t="shared" si="0"/>
        <v/>
      </c>
    </row>
    <row r="18" spans="1:5" x14ac:dyDescent="0.25">
      <c r="A18">
        <v>17</v>
      </c>
      <c r="B18" t="s">
        <v>483</v>
      </c>
      <c r="C18" t="s">
        <v>464</v>
      </c>
      <c r="D18">
        <v>0.84040668320387935</v>
      </c>
      <c r="E18" t="str">
        <f t="shared" si="0"/>
        <v/>
      </c>
    </row>
    <row r="19" spans="1:5" x14ac:dyDescent="0.25">
      <c r="A19">
        <v>18</v>
      </c>
      <c r="B19" t="s">
        <v>484</v>
      </c>
      <c r="C19" t="s">
        <v>464</v>
      </c>
      <c r="D19">
        <v>0.83525470426776616</v>
      </c>
      <c r="E19" t="str">
        <f t="shared" si="0"/>
        <v/>
      </c>
    </row>
    <row r="20" spans="1:5" x14ac:dyDescent="0.25">
      <c r="A20">
        <v>19</v>
      </c>
      <c r="B20" t="s">
        <v>485</v>
      </c>
      <c r="C20" t="s">
        <v>464</v>
      </c>
      <c r="D20">
        <v>0.81997906724032965</v>
      </c>
      <c r="E20" t="str">
        <f t="shared" si="0"/>
        <v/>
      </c>
    </row>
    <row r="21" spans="1:5" x14ac:dyDescent="0.25">
      <c r="A21">
        <v>20</v>
      </c>
      <c r="B21" t="s">
        <v>486</v>
      </c>
      <c r="C21" t="s">
        <v>464</v>
      </c>
      <c r="D21">
        <v>0.81635088149811108</v>
      </c>
      <c r="E21" t="str">
        <f t="shared" si="0"/>
        <v/>
      </c>
    </row>
    <row r="22" spans="1:5" x14ac:dyDescent="0.25">
      <c r="A22">
        <v>21</v>
      </c>
      <c r="B22" t="s">
        <v>487</v>
      </c>
      <c r="C22" t="s">
        <v>464</v>
      </c>
      <c r="D22">
        <v>0.80758490315647291</v>
      </c>
      <c r="E22" t="str">
        <f t="shared" si="0"/>
        <v/>
      </c>
    </row>
    <row r="23" spans="1:5" x14ac:dyDescent="0.25">
      <c r="A23">
        <v>22</v>
      </c>
      <c r="B23" t="s">
        <v>488</v>
      </c>
      <c r="C23" t="s">
        <v>464</v>
      </c>
      <c r="D23">
        <v>0.78420989977817568</v>
      </c>
      <c r="E23" t="str">
        <f t="shared" si="0"/>
        <v>seleted</v>
      </c>
    </row>
    <row r="24" spans="1:5" x14ac:dyDescent="0.25">
      <c r="A24">
        <v>23</v>
      </c>
      <c r="B24" t="s">
        <v>489</v>
      </c>
      <c r="C24" t="s">
        <v>464</v>
      </c>
      <c r="D24">
        <v>0.780188567331217</v>
      </c>
      <c r="E24" t="str">
        <f t="shared" si="0"/>
        <v/>
      </c>
    </row>
    <row r="25" spans="1:5" x14ac:dyDescent="0.25">
      <c r="A25">
        <v>24</v>
      </c>
      <c r="B25" t="s">
        <v>490</v>
      </c>
      <c r="C25" t="s">
        <v>464</v>
      </c>
      <c r="D25">
        <v>0.77484078433477122</v>
      </c>
      <c r="E25" t="str">
        <f t="shared" si="0"/>
        <v/>
      </c>
    </row>
    <row r="26" spans="1:5" x14ac:dyDescent="0.25">
      <c r="A26">
        <v>25</v>
      </c>
      <c r="B26" t="s">
        <v>491</v>
      </c>
      <c r="C26" t="s">
        <v>464</v>
      </c>
      <c r="D26">
        <v>0.76134481309386082</v>
      </c>
      <c r="E26" t="str">
        <f t="shared" si="0"/>
        <v/>
      </c>
    </row>
    <row r="27" spans="1:5" x14ac:dyDescent="0.25">
      <c r="A27">
        <v>26</v>
      </c>
      <c r="B27" t="s">
        <v>492</v>
      </c>
      <c r="C27" t="s">
        <v>464</v>
      </c>
      <c r="D27">
        <v>0.70000950479221036</v>
      </c>
      <c r="E27" t="str">
        <f t="shared" si="0"/>
        <v/>
      </c>
    </row>
    <row r="28" spans="1:5" x14ac:dyDescent="0.25">
      <c r="A28">
        <v>27</v>
      </c>
      <c r="B28" t="s">
        <v>493</v>
      </c>
      <c r="C28" t="s">
        <v>464</v>
      </c>
      <c r="D28">
        <v>0.69184477352566121</v>
      </c>
      <c r="E28" t="str">
        <f t="shared" si="0"/>
        <v/>
      </c>
    </row>
    <row r="29" spans="1:5" x14ac:dyDescent="0.25">
      <c r="A29">
        <v>28</v>
      </c>
      <c r="B29" t="s">
        <v>494</v>
      </c>
      <c r="C29" t="s">
        <v>464</v>
      </c>
      <c r="D29">
        <v>0.68674669342323225</v>
      </c>
      <c r="E29" t="str">
        <f t="shared" si="0"/>
        <v/>
      </c>
    </row>
    <row r="30" spans="1:5" x14ac:dyDescent="0.25">
      <c r="A30">
        <v>29</v>
      </c>
      <c r="B30" t="s">
        <v>495</v>
      </c>
      <c r="C30" t="s">
        <v>464</v>
      </c>
      <c r="D30">
        <v>0.68637713915214471</v>
      </c>
      <c r="E30" t="str">
        <f t="shared" si="0"/>
        <v/>
      </c>
    </row>
    <row r="31" spans="1:5" x14ac:dyDescent="0.25">
      <c r="A31">
        <v>30</v>
      </c>
      <c r="B31" t="s">
        <v>496</v>
      </c>
      <c r="C31" t="s">
        <v>464</v>
      </c>
      <c r="D31">
        <v>0.68541726798447</v>
      </c>
      <c r="E31" t="str">
        <f t="shared" si="0"/>
        <v/>
      </c>
    </row>
    <row r="32" spans="1:5" x14ac:dyDescent="0.25">
      <c r="A32">
        <v>31</v>
      </c>
      <c r="B32" t="s">
        <v>497</v>
      </c>
      <c r="C32" t="s">
        <v>464</v>
      </c>
      <c r="D32">
        <v>0.66826698459762923</v>
      </c>
      <c r="E32" t="str">
        <f t="shared" si="0"/>
        <v/>
      </c>
    </row>
    <row r="33" spans="1:5" x14ac:dyDescent="0.25">
      <c r="A33">
        <v>32</v>
      </c>
      <c r="B33" t="s">
        <v>498</v>
      </c>
      <c r="C33" t="s">
        <v>464</v>
      </c>
      <c r="D33">
        <v>0.65567835178823308</v>
      </c>
      <c r="E33" t="str">
        <f t="shared" si="0"/>
        <v>seleted</v>
      </c>
    </row>
    <row r="34" spans="1:5" x14ac:dyDescent="0.25">
      <c r="A34">
        <v>33</v>
      </c>
      <c r="B34" t="s">
        <v>499</v>
      </c>
      <c r="C34" t="s">
        <v>464</v>
      </c>
      <c r="D34">
        <v>0.65149140917854442</v>
      </c>
      <c r="E34" t="str">
        <f t="shared" si="0"/>
        <v/>
      </c>
    </row>
    <row r="35" spans="1:5" x14ac:dyDescent="0.25">
      <c r="A35">
        <v>34</v>
      </c>
      <c r="B35" t="s">
        <v>500</v>
      </c>
      <c r="C35" t="s">
        <v>462</v>
      </c>
      <c r="D35">
        <v>0.65042159059993687</v>
      </c>
      <c r="E35" t="str">
        <f t="shared" si="0"/>
        <v/>
      </c>
    </row>
    <row r="36" spans="1:5" x14ac:dyDescent="0.25">
      <c r="A36">
        <v>35</v>
      </c>
      <c r="B36" t="s">
        <v>501</v>
      </c>
      <c r="C36" t="s">
        <v>462</v>
      </c>
      <c r="D36">
        <v>0.64336054341166271</v>
      </c>
      <c r="E36" t="str">
        <f t="shared" si="0"/>
        <v/>
      </c>
    </row>
    <row r="37" spans="1:5" x14ac:dyDescent="0.25">
      <c r="A37">
        <v>36</v>
      </c>
      <c r="B37" t="s">
        <v>502</v>
      </c>
      <c r="C37" t="s">
        <v>462</v>
      </c>
      <c r="D37">
        <v>0.63902090195134287</v>
      </c>
      <c r="E37" t="str">
        <f t="shared" si="0"/>
        <v/>
      </c>
    </row>
    <row r="38" spans="1:5" x14ac:dyDescent="0.25">
      <c r="A38">
        <v>37</v>
      </c>
      <c r="B38" t="s">
        <v>503</v>
      </c>
      <c r="C38" t="s">
        <v>462</v>
      </c>
      <c r="D38">
        <v>0.60423855225095724</v>
      </c>
      <c r="E38" t="str">
        <f t="shared" si="0"/>
        <v/>
      </c>
    </row>
    <row r="39" spans="1:5" x14ac:dyDescent="0.25">
      <c r="A39">
        <v>38</v>
      </c>
      <c r="B39" t="s">
        <v>504</v>
      </c>
      <c r="C39" t="s">
        <v>462</v>
      </c>
      <c r="D39">
        <v>0.60149902236379316</v>
      </c>
      <c r="E39" t="str">
        <f t="shared" si="0"/>
        <v/>
      </c>
    </row>
    <row r="40" spans="1:5" x14ac:dyDescent="0.25">
      <c r="A40">
        <v>39</v>
      </c>
      <c r="B40" t="s">
        <v>505</v>
      </c>
      <c r="C40" t="s">
        <v>462</v>
      </c>
      <c r="D40">
        <v>0.5916903395267229</v>
      </c>
      <c r="E40" t="str">
        <f t="shared" si="0"/>
        <v/>
      </c>
    </row>
    <row r="41" spans="1:5" x14ac:dyDescent="0.25">
      <c r="A41">
        <v>40</v>
      </c>
      <c r="B41" t="s">
        <v>506</v>
      </c>
      <c r="C41" t="s">
        <v>462</v>
      </c>
      <c r="D41">
        <v>0.58222083649539891</v>
      </c>
      <c r="E41" t="str">
        <f t="shared" si="0"/>
        <v/>
      </c>
    </row>
    <row r="42" spans="1:5" x14ac:dyDescent="0.25">
      <c r="A42">
        <v>41</v>
      </c>
      <c r="B42" t="s">
        <v>507</v>
      </c>
      <c r="C42" t="s">
        <v>462</v>
      </c>
      <c r="D42">
        <v>0.57985048838410946</v>
      </c>
      <c r="E42" t="str">
        <f t="shared" si="0"/>
        <v/>
      </c>
    </row>
    <row r="43" spans="1:5" x14ac:dyDescent="0.25">
      <c r="A43">
        <v>42</v>
      </c>
      <c r="B43" t="s">
        <v>508</v>
      </c>
      <c r="C43" t="s">
        <v>462</v>
      </c>
      <c r="D43">
        <v>0.57501133838745788</v>
      </c>
      <c r="E43" t="str">
        <f t="shared" si="0"/>
        <v>seleted</v>
      </c>
    </row>
    <row r="44" spans="1:5" x14ac:dyDescent="0.25">
      <c r="A44">
        <v>43</v>
      </c>
      <c r="B44" t="s">
        <v>509</v>
      </c>
      <c r="C44" t="s">
        <v>462</v>
      </c>
      <c r="D44">
        <v>0.56949703088380599</v>
      </c>
      <c r="E44" t="str">
        <f t="shared" si="0"/>
        <v/>
      </c>
    </row>
    <row r="45" spans="1:5" x14ac:dyDescent="0.25">
      <c r="A45">
        <v>44</v>
      </c>
      <c r="B45" t="s">
        <v>510</v>
      </c>
      <c r="C45" t="s">
        <v>462</v>
      </c>
      <c r="D45">
        <v>0.54403291353859273</v>
      </c>
      <c r="E45" t="str">
        <f t="shared" si="0"/>
        <v/>
      </c>
    </row>
    <row r="46" spans="1:5" x14ac:dyDescent="0.25">
      <c r="A46">
        <v>45</v>
      </c>
      <c r="B46" t="s">
        <v>511</v>
      </c>
      <c r="C46" t="s">
        <v>462</v>
      </c>
      <c r="D46">
        <v>0.5380761899314308</v>
      </c>
      <c r="E46" t="str">
        <f t="shared" si="0"/>
        <v/>
      </c>
    </row>
    <row r="47" spans="1:5" x14ac:dyDescent="0.25">
      <c r="A47">
        <v>46</v>
      </c>
      <c r="B47" t="s">
        <v>512</v>
      </c>
      <c r="C47" t="s">
        <v>462</v>
      </c>
      <c r="D47">
        <v>0.53441300902961031</v>
      </c>
      <c r="E47" t="str">
        <f t="shared" si="0"/>
        <v/>
      </c>
    </row>
    <row r="48" spans="1:5" x14ac:dyDescent="0.25">
      <c r="A48">
        <v>47</v>
      </c>
      <c r="B48" t="s">
        <v>513</v>
      </c>
      <c r="C48" t="s">
        <v>462</v>
      </c>
      <c r="D48">
        <v>0.50760168722791077</v>
      </c>
      <c r="E48" t="str">
        <f t="shared" si="0"/>
        <v/>
      </c>
    </row>
    <row r="49" spans="1:5" x14ac:dyDescent="0.25">
      <c r="A49">
        <v>48</v>
      </c>
      <c r="B49" t="s">
        <v>514</v>
      </c>
      <c r="C49" t="s">
        <v>462</v>
      </c>
      <c r="D49">
        <v>0.49411214165419093</v>
      </c>
      <c r="E49" t="str">
        <f t="shared" si="0"/>
        <v/>
      </c>
    </row>
    <row r="50" spans="1:5" x14ac:dyDescent="0.25">
      <c r="A50">
        <v>49</v>
      </c>
      <c r="B50" t="s">
        <v>515</v>
      </c>
      <c r="C50" t="s">
        <v>462</v>
      </c>
      <c r="D50">
        <v>0.49317845904722923</v>
      </c>
      <c r="E50" t="str">
        <f t="shared" si="0"/>
        <v/>
      </c>
    </row>
    <row r="51" spans="1:5" x14ac:dyDescent="0.25">
      <c r="A51">
        <v>50</v>
      </c>
      <c r="B51" t="s">
        <v>516</v>
      </c>
      <c r="C51" t="s">
        <v>462</v>
      </c>
      <c r="D51">
        <v>0.49141727409498093</v>
      </c>
      <c r="E51" t="str">
        <f t="shared" si="0"/>
        <v/>
      </c>
    </row>
    <row r="52" spans="1:5" x14ac:dyDescent="0.25">
      <c r="A52">
        <v>51</v>
      </c>
      <c r="B52" t="s">
        <v>517</v>
      </c>
      <c r="C52" t="s">
        <v>466</v>
      </c>
      <c r="D52">
        <v>0.48412103806510653</v>
      </c>
      <c r="E52" t="str">
        <f t="shared" si="0"/>
        <v/>
      </c>
    </row>
    <row r="53" spans="1:5" x14ac:dyDescent="0.25">
      <c r="A53">
        <v>52</v>
      </c>
      <c r="B53" t="s">
        <v>518</v>
      </c>
      <c r="C53" t="s">
        <v>466</v>
      </c>
      <c r="D53">
        <v>0.46695416999473527</v>
      </c>
      <c r="E53" t="str">
        <f t="shared" si="0"/>
        <v>seleted</v>
      </c>
    </row>
    <row r="54" spans="1:5" x14ac:dyDescent="0.25">
      <c r="A54">
        <v>53</v>
      </c>
      <c r="B54" t="s">
        <v>519</v>
      </c>
      <c r="C54" t="s">
        <v>466</v>
      </c>
      <c r="D54">
        <v>0.46426059217082105</v>
      </c>
      <c r="E54" t="str">
        <f t="shared" si="0"/>
        <v/>
      </c>
    </row>
    <row r="55" spans="1:5" x14ac:dyDescent="0.25">
      <c r="A55">
        <v>54</v>
      </c>
      <c r="B55" t="s">
        <v>520</v>
      </c>
      <c r="C55" t="s">
        <v>466</v>
      </c>
      <c r="D55">
        <v>0.46375108698106426</v>
      </c>
      <c r="E55" t="str">
        <f t="shared" si="0"/>
        <v/>
      </c>
    </row>
    <row r="56" spans="1:5" x14ac:dyDescent="0.25">
      <c r="A56">
        <v>55</v>
      </c>
      <c r="B56" t="s">
        <v>521</v>
      </c>
      <c r="C56" t="s">
        <v>466</v>
      </c>
      <c r="D56">
        <v>0.46188798577055612</v>
      </c>
      <c r="E56" t="str">
        <f t="shared" si="0"/>
        <v/>
      </c>
    </row>
    <row r="57" spans="1:5" x14ac:dyDescent="0.25">
      <c r="A57">
        <v>56</v>
      </c>
      <c r="B57" t="s">
        <v>522</v>
      </c>
      <c r="C57" t="s">
        <v>466</v>
      </c>
      <c r="D57">
        <v>0.44233101393750285</v>
      </c>
      <c r="E57" t="str">
        <f t="shared" si="0"/>
        <v/>
      </c>
    </row>
    <row r="58" spans="1:5" x14ac:dyDescent="0.25">
      <c r="A58">
        <v>57</v>
      </c>
      <c r="B58" t="s">
        <v>523</v>
      </c>
      <c r="C58" t="s">
        <v>466</v>
      </c>
      <c r="D58">
        <v>0.43285821510912492</v>
      </c>
      <c r="E58" t="str">
        <f t="shared" si="0"/>
        <v/>
      </c>
    </row>
    <row r="59" spans="1:5" x14ac:dyDescent="0.25">
      <c r="A59">
        <v>58</v>
      </c>
      <c r="B59" t="s">
        <v>524</v>
      </c>
      <c r="C59" t="s">
        <v>466</v>
      </c>
      <c r="D59">
        <v>0.41949820129730997</v>
      </c>
      <c r="E59" t="str">
        <f t="shared" si="0"/>
        <v/>
      </c>
    </row>
    <row r="60" spans="1:5" x14ac:dyDescent="0.25">
      <c r="A60">
        <v>59</v>
      </c>
      <c r="B60" t="s">
        <v>525</v>
      </c>
      <c r="C60" t="s">
        <v>466</v>
      </c>
      <c r="D60">
        <v>0.4153776561733129</v>
      </c>
      <c r="E60" t="str">
        <f t="shared" si="0"/>
        <v/>
      </c>
    </row>
    <row r="61" spans="1:5" x14ac:dyDescent="0.25">
      <c r="A61">
        <v>60</v>
      </c>
      <c r="B61" t="s">
        <v>526</v>
      </c>
      <c r="C61" t="s">
        <v>466</v>
      </c>
      <c r="D61">
        <v>0.40181858980101492</v>
      </c>
      <c r="E61" t="str">
        <f t="shared" si="0"/>
        <v/>
      </c>
    </row>
    <row r="62" spans="1:5" x14ac:dyDescent="0.25">
      <c r="A62">
        <v>61</v>
      </c>
      <c r="B62" t="s">
        <v>527</v>
      </c>
      <c r="C62" t="s">
        <v>466</v>
      </c>
      <c r="D62">
        <v>0.39619606089674864</v>
      </c>
      <c r="E62" t="str">
        <f t="shared" si="0"/>
        <v/>
      </c>
    </row>
    <row r="63" spans="1:5" x14ac:dyDescent="0.25">
      <c r="A63">
        <v>62</v>
      </c>
      <c r="B63" t="s">
        <v>528</v>
      </c>
      <c r="C63" t="s">
        <v>466</v>
      </c>
      <c r="D63">
        <v>0.38517198576800205</v>
      </c>
      <c r="E63" t="str">
        <f t="shared" si="0"/>
        <v>seleted</v>
      </c>
    </row>
    <row r="64" spans="1:5" x14ac:dyDescent="0.25">
      <c r="A64">
        <v>63</v>
      </c>
      <c r="B64" t="s">
        <v>529</v>
      </c>
      <c r="C64" t="s">
        <v>466</v>
      </c>
      <c r="D64">
        <v>0.38435192121262085</v>
      </c>
      <c r="E64" t="str">
        <f t="shared" si="0"/>
        <v/>
      </c>
    </row>
    <row r="65" spans="1:5" x14ac:dyDescent="0.25">
      <c r="A65">
        <v>64</v>
      </c>
      <c r="B65" t="s">
        <v>530</v>
      </c>
      <c r="C65" t="s">
        <v>466</v>
      </c>
      <c r="D65">
        <v>0.38088238847750788</v>
      </c>
      <c r="E65" t="str">
        <f t="shared" si="0"/>
        <v/>
      </c>
    </row>
    <row r="66" spans="1:5" x14ac:dyDescent="0.25">
      <c r="A66">
        <v>65</v>
      </c>
      <c r="B66" t="s">
        <v>531</v>
      </c>
      <c r="C66" t="s">
        <v>466</v>
      </c>
      <c r="D66">
        <v>0.37705793295287426</v>
      </c>
      <c r="E66" t="str">
        <f t="shared" si="0"/>
        <v/>
      </c>
    </row>
    <row r="67" spans="1:5" x14ac:dyDescent="0.25">
      <c r="A67">
        <v>66</v>
      </c>
      <c r="B67" t="s">
        <v>532</v>
      </c>
      <c r="C67" t="s">
        <v>466</v>
      </c>
      <c r="D67">
        <v>0.37343367559662144</v>
      </c>
      <c r="E67" t="str">
        <f t="shared" ref="E67:E101" si="1">IF(MOD(A67-2,10)=0,"seleted","")</f>
        <v/>
      </c>
    </row>
    <row r="68" spans="1:5" x14ac:dyDescent="0.25">
      <c r="A68">
        <v>67</v>
      </c>
      <c r="B68" t="s">
        <v>533</v>
      </c>
      <c r="C68" t="s">
        <v>466</v>
      </c>
      <c r="D68">
        <v>0.36849126202332316</v>
      </c>
      <c r="E68" t="str">
        <f t="shared" si="1"/>
        <v/>
      </c>
    </row>
    <row r="69" spans="1:5" x14ac:dyDescent="0.25">
      <c r="A69">
        <v>68</v>
      </c>
      <c r="B69" t="s">
        <v>534</v>
      </c>
      <c r="C69" t="s">
        <v>472</v>
      </c>
      <c r="D69">
        <v>0.3629484962763172</v>
      </c>
      <c r="E69" t="str">
        <f t="shared" si="1"/>
        <v/>
      </c>
    </row>
    <row r="70" spans="1:5" x14ac:dyDescent="0.25">
      <c r="A70">
        <v>69</v>
      </c>
      <c r="B70" t="s">
        <v>535</v>
      </c>
      <c r="C70" t="s">
        <v>472</v>
      </c>
      <c r="D70">
        <v>0.34139000029898903</v>
      </c>
      <c r="E70" t="str">
        <f t="shared" si="1"/>
        <v/>
      </c>
    </row>
    <row r="71" spans="1:5" x14ac:dyDescent="0.25">
      <c r="A71">
        <v>70</v>
      </c>
      <c r="B71" t="s">
        <v>536</v>
      </c>
      <c r="C71" t="s">
        <v>472</v>
      </c>
      <c r="D71">
        <v>0.32172336985761263</v>
      </c>
      <c r="E71" t="str">
        <f t="shared" si="1"/>
        <v/>
      </c>
    </row>
    <row r="72" spans="1:5" x14ac:dyDescent="0.25">
      <c r="A72">
        <v>71</v>
      </c>
      <c r="B72" t="s">
        <v>537</v>
      </c>
      <c r="C72" t="s">
        <v>472</v>
      </c>
      <c r="D72">
        <v>0.31891545613565275</v>
      </c>
      <c r="E72" t="str">
        <f t="shared" si="1"/>
        <v/>
      </c>
    </row>
    <row r="73" spans="1:5" x14ac:dyDescent="0.25">
      <c r="A73">
        <v>72</v>
      </c>
      <c r="B73" t="s">
        <v>538</v>
      </c>
      <c r="C73" t="s">
        <v>472</v>
      </c>
      <c r="D73">
        <v>0.30755991861376197</v>
      </c>
      <c r="E73" t="str">
        <f t="shared" si="1"/>
        <v>seleted</v>
      </c>
    </row>
    <row r="74" spans="1:5" x14ac:dyDescent="0.25">
      <c r="A74">
        <v>73</v>
      </c>
      <c r="B74" t="s">
        <v>539</v>
      </c>
      <c r="C74" t="s">
        <v>472</v>
      </c>
      <c r="D74">
        <v>0.30421980308852126</v>
      </c>
      <c r="E74" t="str">
        <f t="shared" si="1"/>
        <v/>
      </c>
    </row>
    <row r="75" spans="1:5" x14ac:dyDescent="0.25">
      <c r="A75">
        <v>74</v>
      </c>
      <c r="B75" t="s">
        <v>540</v>
      </c>
      <c r="C75" t="s">
        <v>472</v>
      </c>
      <c r="D75">
        <v>0.2949540285153327</v>
      </c>
      <c r="E75" t="str">
        <f t="shared" si="1"/>
        <v/>
      </c>
    </row>
    <row r="76" spans="1:5" x14ac:dyDescent="0.25">
      <c r="A76">
        <v>75</v>
      </c>
      <c r="B76" t="s">
        <v>541</v>
      </c>
      <c r="C76" t="s">
        <v>472</v>
      </c>
      <c r="D76">
        <v>0.28747477512557063</v>
      </c>
      <c r="E76" t="str">
        <f t="shared" si="1"/>
        <v/>
      </c>
    </row>
    <row r="77" spans="1:5" x14ac:dyDescent="0.25">
      <c r="A77">
        <v>76</v>
      </c>
      <c r="B77" t="s">
        <v>542</v>
      </c>
      <c r="C77" t="s">
        <v>472</v>
      </c>
      <c r="D77">
        <v>0.28650498972118144</v>
      </c>
      <c r="E77" t="str">
        <f t="shared" si="1"/>
        <v/>
      </c>
    </row>
    <row r="78" spans="1:5" x14ac:dyDescent="0.25">
      <c r="A78">
        <v>77</v>
      </c>
      <c r="B78" t="s">
        <v>543</v>
      </c>
      <c r="C78" t="s">
        <v>472</v>
      </c>
      <c r="D78">
        <v>0.2642475867834988</v>
      </c>
      <c r="E78" t="str">
        <f t="shared" si="1"/>
        <v/>
      </c>
    </row>
    <row r="79" spans="1:5" x14ac:dyDescent="0.25">
      <c r="A79">
        <v>78</v>
      </c>
      <c r="B79" t="s">
        <v>544</v>
      </c>
      <c r="C79" t="s">
        <v>472</v>
      </c>
      <c r="D79">
        <v>0.25311667522907166</v>
      </c>
      <c r="E79" t="str">
        <f t="shared" si="1"/>
        <v/>
      </c>
    </row>
    <row r="80" spans="1:5" x14ac:dyDescent="0.25">
      <c r="A80">
        <v>79</v>
      </c>
      <c r="B80" t="s">
        <v>545</v>
      </c>
      <c r="C80" t="s">
        <v>472</v>
      </c>
      <c r="D80">
        <v>0.24532909213423026</v>
      </c>
      <c r="E80" t="str">
        <f t="shared" si="1"/>
        <v/>
      </c>
    </row>
    <row r="81" spans="1:5" x14ac:dyDescent="0.25">
      <c r="A81">
        <v>80</v>
      </c>
      <c r="B81" t="s">
        <v>546</v>
      </c>
      <c r="C81" t="s">
        <v>472</v>
      </c>
      <c r="D81">
        <v>0.23975939357486609</v>
      </c>
      <c r="E81" t="str">
        <f t="shared" si="1"/>
        <v/>
      </c>
    </row>
    <row r="82" spans="1:5" x14ac:dyDescent="0.25">
      <c r="A82">
        <v>81</v>
      </c>
      <c r="B82" t="s">
        <v>547</v>
      </c>
      <c r="C82" t="s">
        <v>472</v>
      </c>
      <c r="D82">
        <v>0.23820500837436465</v>
      </c>
      <c r="E82" t="str">
        <f t="shared" si="1"/>
        <v/>
      </c>
    </row>
    <row r="83" spans="1:5" x14ac:dyDescent="0.25">
      <c r="A83">
        <v>82</v>
      </c>
      <c r="B83" t="s">
        <v>548</v>
      </c>
      <c r="C83" t="s">
        <v>472</v>
      </c>
      <c r="D83">
        <v>0.23184862764901437</v>
      </c>
      <c r="E83" t="str">
        <f t="shared" si="1"/>
        <v>seleted</v>
      </c>
    </row>
    <row r="84" spans="1:5" x14ac:dyDescent="0.25">
      <c r="A84">
        <v>83</v>
      </c>
      <c r="B84" t="s">
        <v>549</v>
      </c>
      <c r="C84" t="s">
        <v>472</v>
      </c>
      <c r="D84">
        <v>0.23141753151596234</v>
      </c>
      <c r="E84" t="str">
        <f t="shared" si="1"/>
        <v/>
      </c>
    </row>
    <row r="85" spans="1:5" x14ac:dyDescent="0.25">
      <c r="A85">
        <v>84</v>
      </c>
      <c r="B85" t="s">
        <v>550</v>
      </c>
      <c r="C85" t="s">
        <v>468</v>
      </c>
      <c r="D85">
        <v>0.21769453375996095</v>
      </c>
      <c r="E85" t="str">
        <f t="shared" si="1"/>
        <v/>
      </c>
    </row>
    <row r="86" spans="1:5" x14ac:dyDescent="0.25">
      <c r="A86">
        <v>85</v>
      </c>
      <c r="B86" t="s">
        <v>551</v>
      </c>
      <c r="C86" t="s">
        <v>468</v>
      </c>
      <c r="D86">
        <v>0.21735287974339612</v>
      </c>
      <c r="E86" t="str">
        <f t="shared" si="1"/>
        <v/>
      </c>
    </row>
    <row r="87" spans="1:5" x14ac:dyDescent="0.25">
      <c r="A87">
        <v>86</v>
      </c>
      <c r="B87" t="s">
        <v>552</v>
      </c>
      <c r="C87" t="s">
        <v>468</v>
      </c>
      <c r="D87">
        <v>0.21674767570613662</v>
      </c>
      <c r="E87" t="str">
        <f t="shared" si="1"/>
        <v/>
      </c>
    </row>
    <row r="88" spans="1:5" x14ac:dyDescent="0.25">
      <c r="A88">
        <v>87</v>
      </c>
      <c r="B88" t="s">
        <v>553</v>
      </c>
      <c r="C88" t="s">
        <v>468</v>
      </c>
      <c r="D88">
        <v>0.21619801850725051</v>
      </c>
      <c r="E88" t="str">
        <f t="shared" si="1"/>
        <v/>
      </c>
    </row>
    <row r="89" spans="1:5" x14ac:dyDescent="0.25">
      <c r="A89">
        <v>88</v>
      </c>
      <c r="B89" t="s">
        <v>554</v>
      </c>
      <c r="C89" t="s">
        <v>468</v>
      </c>
      <c r="D89">
        <v>0.21485286242231882</v>
      </c>
      <c r="E89" t="str">
        <f t="shared" si="1"/>
        <v/>
      </c>
    </row>
    <row r="90" spans="1:5" x14ac:dyDescent="0.25">
      <c r="A90">
        <v>89</v>
      </c>
      <c r="B90" t="s">
        <v>555</v>
      </c>
      <c r="C90" t="s">
        <v>468</v>
      </c>
      <c r="D90">
        <v>0.18807995379967335</v>
      </c>
      <c r="E90" t="str">
        <f t="shared" si="1"/>
        <v/>
      </c>
    </row>
    <row r="91" spans="1:5" x14ac:dyDescent="0.25">
      <c r="A91">
        <v>90</v>
      </c>
      <c r="B91" t="s">
        <v>556</v>
      </c>
      <c r="C91" t="s">
        <v>468</v>
      </c>
      <c r="D91">
        <v>0.17312856097628693</v>
      </c>
      <c r="E91" t="str">
        <f t="shared" si="1"/>
        <v/>
      </c>
    </row>
    <row r="92" spans="1:5" x14ac:dyDescent="0.25">
      <c r="A92">
        <v>91</v>
      </c>
      <c r="B92" t="s">
        <v>557</v>
      </c>
      <c r="C92" t="s">
        <v>468</v>
      </c>
      <c r="D92">
        <v>0.17031860221636497</v>
      </c>
      <c r="E92" t="str">
        <f t="shared" si="1"/>
        <v/>
      </c>
    </row>
    <row r="93" spans="1:5" x14ac:dyDescent="0.25">
      <c r="A93">
        <v>92</v>
      </c>
      <c r="B93" t="s">
        <v>558</v>
      </c>
      <c r="C93" t="s">
        <v>468</v>
      </c>
      <c r="D93">
        <v>0.16534447279587017</v>
      </c>
      <c r="E93" t="str">
        <f t="shared" si="1"/>
        <v>seleted</v>
      </c>
    </row>
    <row r="94" spans="1:5" x14ac:dyDescent="0.25">
      <c r="A94">
        <v>93</v>
      </c>
      <c r="B94" t="s">
        <v>559</v>
      </c>
      <c r="C94" t="s">
        <v>468</v>
      </c>
      <c r="D94">
        <v>0.12933236503209533</v>
      </c>
      <c r="E94" t="str">
        <f t="shared" si="1"/>
        <v/>
      </c>
    </row>
    <row r="95" spans="1:5" x14ac:dyDescent="0.25">
      <c r="A95">
        <v>94</v>
      </c>
      <c r="B95" t="s">
        <v>560</v>
      </c>
      <c r="C95" t="s">
        <v>468</v>
      </c>
      <c r="D95">
        <v>0.10327850265711713</v>
      </c>
      <c r="E95" t="str">
        <f t="shared" si="1"/>
        <v/>
      </c>
    </row>
    <row r="96" spans="1:5" x14ac:dyDescent="0.25">
      <c r="A96">
        <v>95</v>
      </c>
      <c r="B96" t="s">
        <v>561</v>
      </c>
      <c r="C96" t="s">
        <v>468</v>
      </c>
      <c r="D96">
        <v>9.1793736085011957E-2</v>
      </c>
      <c r="E96" t="str">
        <f t="shared" si="1"/>
        <v/>
      </c>
    </row>
    <row r="97" spans="1:5" x14ac:dyDescent="0.25">
      <c r="A97">
        <v>96</v>
      </c>
      <c r="B97" t="s">
        <v>562</v>
      </c>
      <c r="C97" t="s">
        <v>468</v>
      </c>
      <c r="D97">
        <v>8.8733284280525293E-2</v>
      </c>
      <c r="E97" t="str">
        <f t="shared" si="1"/>
        <v/>
      </c>
    </row>
    <row r="98" spans="1:5" x14ac:dyDescent="0.25">
      <c r="A98">
        <v>97</v>
      </c>
      <c r="B98" t="s">
        <v>563</v>
      </c>
      <c r="C98" t="s">
        <v>468</v>
      </c>
      <c r="D98">
        <v>5.4548272175817702E-2</v>
      </c>
      <c r="E98" t="str">
        <f t="shared" si="1"/>
        <v/>
      </c>
    </row>
    <row r="99" spans="1:5" x14ac:dyDescent="0.25">
      <c r="A99">
        <v>98</v>
      </c>
      <c r="B99" t="s">
        <v>564</v>
      </c>
      <c r="C99" t="s">
        <v>468</v>
      </c>
      <c r="D99">
        <v>5.1565855449651976E-2</v>
      </c>
      <c r="E99" t="str">
        <f t="shared" si="1"/>
        <v/>
      </c>
    </row>
    <row r="100" spans="1:5" x14ac:dyDescent="0.25">
      <c r="A100">
        <v>99</v>
      </c>
      <c r="B100" t="s">
        <v>565</v>
      </c>
      <c r="C100" t="s">
        <v>468</v>
      </c>
      <c r="D100">
        <v>4.3452813582070648E-2</v>
      </c>
      <c r="E100" t="str">
        <f t="shared" si="1"/>
        <v/>
      </c>
    </row>
    <row r="101" spans="1:5" x14ac:dyDescent="0.25">
      <c r="A101">
        <v>100</v>
      </c>
      <c r="B101" t="s">
        <v>566</v>
      </c>
      <c r="C101" t="s">
        <v>468</v>
      </c>
      <c r="D101">
        <v>2.3528576825188052E-2</v>
      </c>
      <c r="E101" t="str">
        <f t="shared" si="1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F82CB-D7BF-457C-94C7-45CB185EB584}">
  <dimension ref="A1:D101"/>
  <sheetViews>
    <sheetView workbookViewId="0">
      <selection activeCell="E11" sqref="E11"/>
    </sheetView>
  </sheetViews>
  <sheetFormatPr defaultRowHeight="15" x14ac:dyDescent="0.25"/>
  <sheetData>
    <row r="1" spans="1:4" x14ac:dyDescent="0.25">
      <c r="A1" s="1" t="s">
        <v>459</v>
      </c>
      <c r="B1" s="1" t="s">
        <v>460</v>
      </c>
      <c r="C1" s="1" t="s">
        <v>4</v>
      </c>
      <c r="D1" s="1" t="s">
        <v>453</v>
      </c>
    </row>
    <row r="2" spans="1:4" x14ac:dyDescent="0.25">
      <c r="A2">
        <v>1</v>
      </c>
      <c r="B2" t="s">
        <v>461</v>
      </c>
      <c r="C2" t="s">
        <v>470</v>
      </c>
      <c r="D2">
        <v>0.9943449342448526</v>
      </c>
    </row>
    <row r="3" spans="1:4" x14ac:dyDescent="0.25">
      <c r="A3">
        <v>2</v>
      </c>
      <c r="B3" t="s">
        <v>463</v>
      </c>
      <c r="C3" t="s">
        <v>470</v>
      </c>
      <c r="D3">
        <v>0.97422887691763671</v>
      </c>
    </row>
    <row r="4" spans="1:4" x14ac:dyDescent="0.25">
      <c r="A4">
        <v>3</v>
      </c>
      <c r="B4" t="s">
        <v>465</v>
      </c>
      <c r="C4" t="s">
        <v>470</v>
      </c>
      <c r="D4">
        <v>0.97318517203549948</v>
      </c>
    </row>
    <row r="5" spans="1:4" x14ac:dyDescent="0.25">
      <c r="A5">
        <v>4</v>
      </c>
      <c r="B5" t="s">
        <v>467</v>
      </c>
      <c r="C5" t="s">
        <v>470</v>
      </c>
      <c r="D5">
        <v>0.96072107579963306</v>
      </c>
    </row>
    <row r="6" spans="1:4" x14ac:dyDescent="0.25">
      <c r="A6">
        <v>5</v>
      </c>
      <c r="B6" t="s">
        <v>469</v>
      </c>
      <c r="C6" t="s">
        <v>470</v>
      </c>
      <c r="D6">
        <v>0.95138424587305437</v>
      </c>
    </row>
    <row r="7" spans="1:4" x14ac:dyDescent="0.25">
      <c r="A7">
        <v>6</v>
      </c>
      <c r="B7" t="s">
        <v>471</v>
      </c>
      <c r="C7" t="s">
        <v>470</v>
      </c>
      <c r="D7">
        <v>0.92653419191971875</v>
      </c>
    </row>
    <row r="8" spans="1:4" x14ac:dyDescent="0.25">
      <c r="A8">
        <v>7</v>
      </c>
      <c r="B8" t="s">
        <v>473</v>
      </c>
      <c r="C8" t="s">
        <v>470</v>
      </c>
      <c r="D8">
        <v>0.91914509639102082</v>
      </c>
    </row>
    <row r="9" spans="1:4" x14ac:dyDescent="0.25">
      <c r="A9">
        <v>8</v>
      </c>
      <c r="B9" t="s">
        <v>474</v>
      </c>
      <c r="C9" t="s">
        <v>470</v>
      </c>
      <c r="D9">
        <v>0.90986998533330887</v>
      </c>
    </row>
    <row r="10" spans="1:4" x14ac:dyDescent="0.25">
      <c r="A10">
        <v>9</v>
      </c>
      <c r="B10" t="s">
        <v>475</v>
      </c>
      <c r="C10" t="s">
        <v>470</v>
      </c>
      <c r="D10">
        <v>0.89139346077141091</v>
      </c>
    </row>
    <row r="11" spans="1:4" x14ac:dyDescent="0.25">
      <c r="A11">
        <v>10</v>
      </c>
      <c r="B11" t="s">
        <v>476</v>
      </c>
      <c r="C11" t="s">
        <v>470</v>
      </c>
      <c r="D11">
        <v>0.88099516089714458</v>
      </c>
    </row>
    <row r="12" spans="1:4" x14ac:dyDescent="0.25">
      <c r="A12">
        <v>11</v>
      </c>
      <c r="B12" t="s">
        <v>477</v>
      </c>
      <c r="C12" t="s">
        <v>470</v>
      </c>
      <c r="D12">
        <v>0.87772056222628925</v>
      </c>
    </row>
    <row r="13" spans="1:4" x14ac:dyDescent="0.25">
      <c r="A13">
        <v>12</v>
      </c>
      <c r="B13" t="s">
        <v>478</v>
      </c>
      <c r="C13" t="s">
        <v>470</v>
      </c>
      <c r="D13">
        <v>0.87702314085796473</v>
      </c>
    </row>
    <row r="14" spans="1:4" x14ac:dyDescent="0.25">
      <c r="A14">
        <v>13</v>
      </c>
      <c r="B14" t="s">
        <v>479</v>
      </c>
      <c r="C14" t="s">
        <v>470</v>
      </c>
      <c r="D14">
        <v>0.86079788210981301</v>
      </c>
    </row>
    <row r="15" spans="1:4" x14ac:dyDescent="0.25">
      <c r="A15">
        <v>14</v>
      </c>
      <c r="B15" t="s">
        <v>480</v>
      </c>
      <c r="C15" t="s">
        <v>470</v>
      </c>
      <c r="D15">
        <v>0.85897891293700401</v>
      </c>
    </row>
    <row r="16" spans="1:4" x14ac:dyDescent="0.25">
      <c r="A16">
        <v>15</v>
      </c>
      <c r="B16" t="s">
        <v>481</v>
      </c>
      <c r="C16" t="s">
        <v>470</v>
      </c>
      <c r="D16">
        <v>0.85383854784127733</v>
      </c>
    </row>
    <row r="17" spans="1:4" x14ac:dyDescent="0.25">
      <c r="A17">
        <v>16</v>
      </c>
      <c r="B17" t="s">
        <v>482</v>
      </c>
      <c r="C17" t="s">
        <v>470</v>
      </c>
      <c r="D17">
        <v>0.85340203815995153</v>
      </c>
    </row>
    <row r="18" spans="1:4" x14ac:dyDescent="0.25">
      <c r="A18">
        <v>17</v>
      </c>
      <c r="B18" t="s">
        <v>483</v>
      </c>
      <c r="C18" t="s">
        <v>464</v>
      </c>
      <c r="D18">
        <v>0.84040668320387935</v>
      </c>
    </row>
    <row r="19" spans="1:4" x14ac:dyDescent="0.25">
      <c r="A19">
        <v>18</v>
      </c>
      <c r="B19" t="s">
        <v>484</v>
      </c>
      <c r="C19" t="s">
        <v>464</v>
      </c>
      <c r="D19">
        <v>0.83525470426776616</v>
      </c>
    </row>
    <row r="20" spans="1:4" x14ac:dyDescent="0.25">
      <c r="A20">
        <v>19</v>
      </c>
      <c r="B20" t="s">
        <v>485</v>
      </c>
      <c r="C20" t="s">
        <v>464</v>
      </c>
      <c r="D20">
        <v>0.81997906724032965</v>
      </c>
    </row>
    <row r="21" spans="1:4" x14ac:dyDescent="0.25">
      <c r="A21">
        <v>20</v>
      </c>
      <c r="B21" t="s">
        <v>486</v>
      </c>
      <c r="C21" t="s">
        <v>464</v>
      </c>
      <c r="D21">
        <v>0.81635088149811108</v>
      </c>
    </row>
    <row r="22" spans="1:4" x14ac:dyDescent="0.25">
      <c r="A22">
        <v>21</v>
      </c>
      <c r="B22" t="s">
        <v>487</v>
      </c>
      <c r="C22" t="s">
        <v>464</v>
      </c>
      <c r="D22">
        <v>0.80758490315647291</v>
      </c>
    </row>
    <row r="23" spans="1:4" x14ac:dyDescent="0.25">
      <c r="A23">
        <v>22</v>
      </c>
      <c r="B23" t="s">
        <v>488</v>
      </c>
      <c r="C23" t="s">
        <v>464</v>
      </c>
      <c r="D23">
        <v>0.78420989977817568</v>
      </c>
    </row>
    <row r="24" spans="1:4" x14ac:dyDescent="0.25">
      <c r="A24">
        <v>23</v>
      </c>
      <c r="B24" t="s">
        <v>489</v>
      </c>
      <c r="C24" t="s">
        <v>464</v>
      </c>
      <c r="D24">
        <v>0.780188567331217</v>
      </c>
    </row>
    <row r="25" spans="1:4" x14ac:dyDescent="0.25">
      <c r="A25">
        <v>24</v>
      </c>
      <c r="B25" t="s">
        <v>490</v>
      </c>
      <c r="C25" t="s">
        <v>464</v>
      </c>
      <c r="D25">
        <v>0.77484078433477122</v>
      </c>
    </row>
    <row r="26" spans="1:4" x14ac:dyDescent="0.25">
      <c r="A26">
        <v>25</v>
      </c>
      <c r="B26" t="s">
        <v>491</v>
      </c>
      <c r="C26" t="s">
        <v>464</v>
      </c>
      <c r="D26">
        <v>0.76134481309386082</v>
      </c>
    </row>
    <row r="27" spans="1:4" x14ac:dyDescent="0.25">
      <c r="A27">
        <v>26</v>
      </c>
      <c r="B27" t="s">
        <v>492</v>
      </c>
      <c r="C27" t="s">
        <v>464</v>
      </c>
      <c r="D27">
        <v>0.70000950479221036</v>
      </c>
    </row>
    <row r="28" spans="1:4" x14ac:dyDescent="0.25">
      <c r="A28">
        <v>27</v>
      </c>
      <c r="B28" t="s">
        <v>493</v>
      </c>
      <c r="C28" t="s">
        <v>464</v>
      </c>
      <c r="D28">
        <v>0.69184477352566121</v>
      </c>
    </row>
    <row r="29" spans="1:4" x14ac:dyDescent="0.25">
      <c r="A29">
        <v>28</v>
      </c>
      <c r="B29" t="s">
        <v>494</v>
      </c>
      <c r="C29" t="s">
        <v>464</v>
      </c>
      <c r="D29">
        <v>0.68674669342323225</v>
      </c>
    </row>
    <row r="30" spans="1:4" x14ac:dyDescent="0.25">
      <c r="A30">
        <v>29</v>
      </c>
      <c r="B30" t="s">
        <v>495</v>
      </c>
      <c r="C30" t="s">
        <v>464</v>
      </c>
      <c r="D30">
        <v>0.68637713915214471</v>
      </c>
    </row>
    <row r="31" spans="1:4" x14ac:dyDescent="0.25">
      <c r="A31">
        <v>30</v>
      </c>
      <c r="B31" t="s">
        <v>496</v>
      </c>
      <c r="C31" t="s">
        <v>464</v>
      </c>
      <c r="D31">
        <v>0.68541726798447</v>
      </c>
    </row>
    <row r="32" spans="1:4" x14ac:dyDescent="0.25">
      <c r="A32">
        <v>31</v>
      </c>
      <c r="B32" t="s">
        <v>497</v>
      </c>
      <c r="C32" t="s">
        <v>464</v>
      </c>
      <c r="D32">
        <v>0.66826698459762923</v>
      </c>
    </row>
    <row r="33" spans="1:4" x14ac:dyDescent="0.25">
      <c r="A33">
        <v>32</v>
      </c>
      <c r="B33" t="s">
        <v>498</v>
      </c>
      <c r="C33" t="s">
        <v>464</v>
      </c>
      <c r="D33">
        <v>0.65567835178823308</v>
      </c>
    </row>
    <row r="34" spans="1:4" x14ac:dyDescent="0.25">
      <c r="A34">
        <v>33</v>
      </c>
      <c r="B34" t="s">
        <v>499</v>
      </c>
      <c r="C34" t="s">
        <v>464</v>
      </c>
      <c r="D34">
        <v>0.65149140917854442</v>
      </c>
    </row>
    <row r="35" spans="1:4" x14ac:dyDescent="0.25">
      <c r="A35">
        <v>34</v>
      </c>
      <c r="B35" t="s">
        <v>500</v>
      </c>
      <c r="C35" t="s">
        <v>462</v>
      </c>
      <c r="D35">
        <v>0.65042159059993687</v>
      </c>
    </row>
    <row r="36" spans="1:4" x14ac:dyDescent="0.25">
      <c r="A36">
        <v>35</v>
      </c>
      <c r="B36" t="s">
        <v>501</v>
      </c>
      <c r="C36" t="s">
        <v>462</v>
      </c>
      <c r="D36">
        <v>0.64336054341166271</v>
      </c>
    </row>
    <row r="37" spans="1:4" x14ac:dyDescent="0.25">
      <c r="A37">
        <v>36</v>
      </c>
      <c r="B37" t="s">
        <v>502</v>
      </c>
      <c r="C37" t="s">
        <v>462</v>
      </c>
      <c r="D37">
        <v>0.63902090195134287</v>
      </c>
    </row>
    <row r="38" spans="1:4" x14ac:dyDescent="0.25">
      <c r="A38">
        <v>37</v>
      </c>
      <c r="B38" t="s">
        <v>503</v>
      </c>
      <c r="C38" t="s">
        <v>462</v>
      </c>
      <c r="D38">
        <v>0.60423855225095724</v>
      </c>
    </row>
    <row r="39" spans="1:4" x14ac:dyDescent="0.25">
      <c r="A39">
        <v>38</v>
      </c>
      <c r="B39" t="s">
        <v>504</v>
      </c>
      <c r="C39" t="s">
        <v>462</v>
      </c>
      <c r="D39">
        <v>0.60149902236379316</v>
      </c>
    </row>
    <row r="40" spans="1:4" x14ac:dyDescent="0.25">
      <c r="A40">
        <v>39</v>
      </c>
      <c r="B40" t="s">
        <v>505</v>
      </c>
      <c r="C40" t="s">
        <v>462</v>
      </c>
      <c r="D40">
        <v>0.5916903395267229</v>
      </c>
    </row>
    <row r="41" spans="1:4" x14ac:dyDescent="0.25">
      <c r="A41">
        <v>40</v>
      </c>
      <c r="B41" t="s">
        <v>506</v>
      </c>
      <c r="C41" t="s">
        <v>462</v>
      </c>
      <c r="D41">
        <v>0.58222083649539891</v>
      </c>
    </row>
    <row r="42" spans="1:4" x14ac:dyDescent="0.25">
      <c r="A42">
        <v>41</v>
      </c>
      <c r="B42" t="s">
        <v>507</v>
      </c>
      <c r="C42" t="s">
        <v>462</v>
      </c>
      <c r="D42">
        <v>0.57985048838410946</v>
      </c>
    </row>
    <row r="43" spans="1:4" x14ac:dyDescent="0.25">
      <c r="A43">
        <v>42</v>
      </c>
      <c r="B43" t="s">
        <v>508</v>
      </c>
      <c r="C43" t="s">
        <v>462</v>
      </c>
      <c r="D43">
        <v>0.57501133838745788</v>
      </c>
    </row>
    <row r="44" spans="1:4" x14ac:dyDescent="0.25">
      <c r="A44">
        <v>43</v>
      </c>
      <c r="B44" t="s">
        <v>509</v>
      </c>
      <c r="C44" t="s">
        <v>462</v>
      </c>
      <c r="D44">
        <v>0.56949703088380599</v>
      </c>
    </row>
    <row r="45" spans="1:4" x14ac:dyDescent="0.25">
      <c r="A45">
        <v>44</v>
      </c>
      <c r="B45" t="s">
        <v>510</v>
      </c>
      <c r="C45" t="s">
        <v>462</v>
      </c>
      <c r="D45">
        <v>0.54403291353859273</v>
      </c>
    </row>
    <row r="46" spans="1:4" x14ac:dyDescent="0.25">
      <c r="A46">
        <v>45</v>
      </c>
      <c r="B46" t="s">
        <v>511</v>
      </c>
      <c r="C46" t="s">
        <v>462</v>
      </c>
      <c r="D46">
        <v>0.5380761899314308</v>
      </c>
    </row>
    <row r="47" spans="1:4" x14ac:dyDescent="0.25">
      <c r="A47">
        <v>46</v>
      </c>
      <c r="B47" t="s">
        <v>512</v>
      </c>
      <c r="C47" t="s">
        <v>462</v>
      </c>
      <c r="D47">
        <v>0.53441300902961031</v>
      </c>
    </row>
    <row r="48" spans="1:4" x14ac:dyDescent="0.25">
      <c r="A48">
        <v>47</v>
      </c>
      <c r="B48" t="s">
        <v>513</v>
      </c>
      <c r="C48" t="s">
        <v>462</v>
      </c>
      <c r="D48">
        <v>0.50760168722791077</v>
      </c>
    </row>
    <row r="49" spans="1:4" x14ac:dyDescent="0.25">
      <c r="A49">
        <v>48</v>
      </c>
      <c r="B49" t="s">
        <v>514</v>
      </c>
      <c r="C49" t="s">
        <v>462</v>
      </c>
      <c r="D49">
        <v>0.49411214165419093</v>
      </c>
    </row>
    <row r="50" spans="1:4" x14ac:dyDescent="0.25">
      <c r="A50">
        <v>49</v>
      </c>
      <c r="B50" t="s">
        <v>515</v>
      </c>
      <c r="C50" t="s">
        <v>462</v>
      </c>
      <c r="D50">
        <v>0.49317845904722923</v>
      </c>
    </row>
    <row r="51" spans="1:4" x14ac:dyDescent="0.25">
      <c r="A51">
        <v>50</v>
      </c>
      <c r="B51" t="s">
        <v>516</v>
      </c>
      <c r="C51" t="s">
        <v>462</v>
      </c>
      <c r="D51">
        <v>0.49141727409498093</v>
      </c>
    </row>
    <row r="52" spans="1:4" x14ac:dyDescent="0.25">
      <c r="A52">
        <v>51</v>
      </c>
      <c r="B52" t="s">
        <v>517</v>
      </c>
      <c r="C52" t="s">
        <v>466</v>
      </c>
      <c r="D52">
        <v>0.48412103806510653</v>
      </c>
    </row>
    <row r="53" spans="1:4" x14ac:dyDescent="0.25">
      <c r="A53">
        <v>52</v>
      </c>
      <c r="B53" t="s">
        <v>518</v>
      </c>
      <c r="C53" t="s">
        <v>466</v>
      </c>
      <c r="D53">
        <v>0.46695416999473527</v>
      </c>
    </row>
    <row r="54" spans="1:4" x14ac:dyDescent="0.25">
      <c r="A54">
        <v>53</v>
      </c>
      <c r="B54" t="s">
        <v>519</v>
      </c>
      <c r="C54" t="s">
        <v>466</v>
      </c>
      <c r="D54">
        <v>0.46426059217082105</v>
      </c>
    </row>
    <row r="55" spans="1:4" x14ac:dyDescent="0.25">
      <c r="A55">
        <v>54</v>
      </c>
      <c r="B55" t="s">
        <v>520</v>
      </c>
      <c r="C55" t="s">
        <v>466</v>
      </c>
      <c r="D55">
        <v>0.46375108698106426</v>
      </c>
    </row>
    <row r="56" spans="1:4" x14ac:dyDescent="0.25">
      <c r="A56">
        <v>55</v>
      </c>
      <c r="B56" t="s">
        <v>521</v>
      </c>
      <c r="C56" t="s">
        <v>466</v>
      </c>
      <c r="D56">
        <v>0.46188798577055612</v>
      </c>
    </row>
    <row r="57" spans="1:4" x14ac:dyDescent="0.25">
      <c r="A57">
        <v>56</v>
      </c>
      <c r="B57" t="s">
        <v>522</v>
      </c>
      <c r="C57" t="s">
        <v>466</v>
      </c>
      <c r="D57">
        <v>0.44233101393750285</v>
      </c>
    </row>
    <row r="58" spans="1:4" x14ac:dyDescent="0.25">
      <c r="A58">
        <v>57</v>
      </c>
      <c r="B58" t="s">
        <v>523</v>
      </c>
      <c r="C58" t="s">
        <v>466</v>
      </c>
      <c r="D58">
        <v>0.43285821510912492</v>
      </c>
    </row>
    <row r="59" spans="1:4" x14ac:dyDescent="0.25">
      <c r="A59">
        <v>58</v>
      </c>
      <c r="B59" t="s">
        <v>524</v>
      </c>
      <c r="C59" t="s">
        <v>466</v>
      </c>
      <c r="D59">
        <v>0.41949820129730997</v>
      </c>
    </row>
    <row r="60" spans="1:4" x14ac:dyDescent="0.25">
      <c r="A60">
        <v>59</v>
      </c>
      <c r="B60" t="s">
        <v>525</v>
      </c>
      <c r="C60" t="s">
        <v>466</v>
      </c>
      <c r="D60">
        <v>0.4153776561733129</v>
      </c>
    </row>
    <row r="61" spans="1:4" x14ac:dyDescent="0.25">
      <c r="A61">
        <v>60</v>
      </c>
      <c r="B61" t="s">
        <v>526</v>
      </c>
      <c r="C61" t="s">
        <v>466</v>
      </c>
      <c r="D61">
        <v>0.40181858980101492</v>
      </c>
    </row>
    <row r="62" spans="1:4" x14ac:dyDescent="0.25">
      <c r="A62">
        <v>61</v>
      </c>
      <c r="B62" t="s">
        <v>527</v>
      </c>
      <c r="C62" t="s">
        <v>466</v>
      </c>
      <c r="D62">
        <v>0.39619606089674864</v>
      </c>
    </row>
    <row r="63" spans="1:4" x14ac:dyDescent="0.25">
      <c r="A63">
        <v>62</v>
      </c>
      <c r="B63" t="s">
        <v>528</v>
      </c>
      <c r="C63" t="s">
        <v>466</v>
      </c>
      <c r="D63">
        <v>0.38517198576800205</v>
      </c>
    </row>
    <row r="64" spans="1:4" x14ac:dyDescent="0.25">
      <c r="A64">
        <v>63</v>
      </c>
      <c r="B64" t="s">
        <v>529</v>
      </c>
      <c r="C64" t="s">
        <v>466</v>
      </c>
      <c r="D64">
        <v>0.38435192121262085</v>
      </c>
    </row>
    <row r="65" spans="1:4" x14ac:dyDescent="0.25">
      <c r="A65">
        <v>64</v>
      </c>
      <c r="B65" t="s">
        <v>530</v>
      </c>
      <c r="C65" t="s">
        <v>466</v>
      </c>
      <c r="D65">
        <v>0.38088238847750788</v>
      </c>
    </row>
    <row r="66" spans="1:4" x14ac:dyDescent="0.25">
      <c r="A66">
        <v>65</v>
      </c>
      <c r="B66" t="s">
        <v>531</v>
      </c>
      <c r="C66" t="s">
        <v>466</v>
      </c>
      <c r="D66">
        <v>0.37705793295287426</v>
      </c>
    </row>
    <row r="67" spans="1:4" x14ac:dyDescent="0.25">
      <c r="A67">
        <v>66</v>
      </c>
      <c r="B67" t="s">
        <v>532</v>
      </c>
      <c r="C67" t="s">
        <v>466</v>
      </c>
      <c r="D67">
        <v>0.37343367559662144</v>
      </c>
    </row>
    <row r="68" spans="1:4" x14ac:dyDescent="0.25">
      <c r="A68">
        <v>67</v>
      </c>
      <c r="B68" t="s">
        <v>533</v>
      </c>
      <c r="C68" t="s">
        <v>466</v>
      </c>
      <c r="D68">
        <v>0.36849126202332316</v>
      </c>
    </row>
    <row r="69" spans="1:4" x14ac:dyDescent="0.25">
      <c r="A69">
        <v>68</v>
      </c>
      <c r="B69" t="s">
        <v>534</v>
      </c>
      <c r="C69" t="s">
        <v>472</v>
      </c>
      <c r="D69">
        <v>0.3629484962763172</v>
      </c>
    </row>
    <row r="70" spans="1:4" x14ac:dyDescent="0.25">
      <c r="A70">
        <v>69</v>
      </c>
      <c r="B70" t="s">
        <v>535</v>
      </c>
      <c r="C70" t="s">
        <v>472</v>
      </c>
      <c r="D70">
        <v>0.34139000029898903</v>
      </c>
    </row>
    <row r="71" spans="1:4" x14ac:dyDescent="0.25">
      <c r="A71">
        <v>70</v>
      </c>
      <c r="B71" t="s">
        <v>536</v>
      </c>
      <c r="C71" t="s">
        <v>472</v>
      </c>
      <c r="D71">
        <v>0.32172336985761263</v>
      </c>
    </row>
    <row r="72" spans="1:4" x14ac:dyDescent="0.25">
      <c r="A72">
        <v>71</v>
      </c>
      <c r="B72" t="s">
        <v>537</v>
      </c>
      <c r="C72" t="s">
        <v>472</v>
      </c>
      <c r="D72">
        <v>0.31891545613565275</v>
      </c>
    </row>
    <row r="73" spans="1:4" x14ac:dyDescent="0.25">
      <c r="A73">
        <v>72</v>
      </c>
      <c r="B73" t="s">
        <v>538</v>
      </c>
      <c r="C73" t="s">
        <v>472</v>
      </c>
      <c r="D73">
        <v>0.30755991861376197</v>
      </c>
    </row>
    <row r="74" spans="1:4" x14ac:dyDescent="0.25">
      <c r="A74">
        <v>73</v>
      </c>
      <c r="B74" t="s">
        <v>539</v>
      </c>
      <c r="C74" t="s">
        <v>472</v>
      </c>
      <c r="D74">
        <v>0.30421980308852126</v>
      </c>
    </row>
    <row r="75" spans="1:4" x14ac:dyDescent="0.25">
      <c r="A75">
        <v>74</v>
      </c>
      <c r="B75" t="s">
        <v>540</v>
      </c>
      <c r="C75" t="s">
        <v>472</v>
      </c>
      <c r="D75">
        <v>0.2949540285153327</v>
      </c>
    </row>
    <row r="76" spans="1:4" x14ac:dyDescent="0.25">
      <c r="A76">
        <v>75</v>
      </c>
      <c r="B76" t="s">
        <v>541</v>
      </c>
      <c r="C76" t="s">
        <v>472</v>
      </c>
      <c r="D76">
        <v>0.28747477512557063</v>
      </c>
    </row>
    <row r="77" spans="1:4" x14ac:dyDescent="0.25">
      <c r="A77">
        <v>76</v>
      </c>
      <c r="B77" t="s">
        <v>542</v>
      </c>
      <c r="C77" t="s">
        <v>472</v>
      </c>
      <c r="D77">
        <v>0.28650498972118144</v>
      </c>
    </row>
    <row r="78" spans="1:4" x14ac:dyDescent="0.25">
      <c r="A78">
        <v>77</v>
      </c>
      <c r="B78" t="s">
        <v>543</v>
      </c>
      <c r="C78" t="s">
        <v>472</v>
      </c>
      <c r="D78">
        <v>0.2642475867834988</v>
      </c>
    </row>
    <row r="79" spans="1:4" x14ac:dyDescent="0.25">
      <c r="A79">
        <v>78</v>
      </c>
      <c r="B79" t="s">
        <v>544</v>
      </c>
      <c r="C79" t="s">
        <v>472</v>
      </c>
      <c r="D79">
        <v>0.25311667522907166</v>
      </c>
    </row>
    <row r="80" spans="1:4" x14ac:dyDescent="0.25">
      <c r="A80">
        <v>79</v>
      </c>
      <c r="B80" t="s">
        <v>545</v>
      </c>
      <c r="C80" t="s">
        <v>472</v>
      </c>
      <c r="D80">
        <v>0.24532909213423026</v>
      </c>
    </row>
    <row r="81" spans="1:4" x14ac:dyDescent="0.25">
      <c r="A81">
        <v>80</v>
      </c>
      <c r="B81" t="s">
        <v>546</v>
      </c>
      <c r="C81" t="s">
        <v>472</v>
      </c>
      <c r="D81">
        <v>0.23975939357486609</v>
      </c>
    </row>
    <row r="82" spans="1:4" x14ac:dyDescent="0.25">
      <c r="A82">
        <v>81</v>
      </c>
      <c r="B82" t="s">
        <v>547</v>
      </c>
      <c r="C82" t="s">
        <v>472</v>
      </c>
      <c r="D82">
        <v>0.23820500837436465</v>
      </c>
    </row>
    <row r="83" spans="1:4" x14ac:dyDescent="0.25">
      <c r="A83">
        <v>82</v>
      </c>
      <c r="B83" t="s">
        <v>548</v>
      </c>
      <c r="C83" t="s">
        <v>472</v>
      </c>
      <c r="D83">
        <v>0.23184862764901437</v>
      </c>
    </row>
    <row r="84" spans="1:4" x14ac:dyDescent="0.25">
      <c r="A84">
        <v>83</v>
      </c>
      <c r="B84" t="s">
        <v>549</v>
      </c>
      <c r="C84" t="s">
        <v>472</v>
      </c>
      <c r="D84">
        <v>0.23141753151596234</v>
      </c>
    </row>
    <row r="85" spans="1:4" x14ac:dyDescent="0.25">
      <c r="A85">
        <v>84</v>
      </c>
      <c r="B85" t="s">
        <v>550</v>
      </c>
      <c r="C85" t="s">
        <v>468</v>
      </c>
      <c r="D85">
        <v>0.21769453375996095</v>
      </c>
    </row>
    <row r="86" spans="1:4" x14ac:dyDescent="0.25">
      <c r="A86">
        <v>85</v>
      </c>
      <c r="B86" t="s">
        <v>551</v>
      </c>
      <c r="C86" t="s">
        <v>468</v>
      </c>
      <c r="D86">
        <v>0.21735287974339612</v>
      </c>
    </row>
    <row r="87" spans="1:4" x14ac:dyDescent="0.25">
      <c r="A87">
        <v>86</v>
      </c>
      <c r="B87" t="s">
        <v>552</v>
      </c>
      <c r="C87" t="s">
        <v>468</v>
      </c>
      <c r="D87">
        <v>0.21674767570613662</v>
      </c>
    </row>
    <row r="88" spans="1:4" x14ac:dyDescent="0.25">
      <c r="A88">
        <v>87</v>
      </c>
      <c r="B88" t="s">
        <v>553</v>
      </c>
      <c r="C88" t="s">
        <v>468</v>
      </c>
      <c r="D88">
        <v>0.21619801850725051</v>
      </c>
    </row>
    <row r="89" spans="1:4" x14ac:dyDescent="0.25">
      <c r="A89">
        <v>88</v>
      </c>
      <c r="B89" t="s">
        <v>554</v>
      </c>
      <c r="C89" t="s">
        <v>468</v>
      </c>
      <c r="D89">
        <v>0.21485286242231882</v>
      </c>
    </row>
    <row r="90" spans="1:4" x14ac:dyDescent="0.25">
      <c r="A90">
        <v>89</v>
      </c>
      <c r="B90" t="s">
        <v>555</v>
      </c>
      <c r="C90" t="s">
        <v>468</v>
      </c>
      <c r="D90">
        <v>0.18807995379967335</v>
      </c>
    </row>
    <row r="91" spans="1:4" x14ac:dyDescent="0.25">
      <c r="A91">
        <v>90</v>
      </c>
      <c r="B91" t="s">
        <v>556</v>
      </c>
      <c r="C91" t="s">
        <v>468</v>
      </c>
      <c r="D91">
        <v>0.17312856097628693</v>
      </c>
    </row>
    <row r="92" spans="1:4" x14ac:dyDescent="0.25">
      <c r="A92">
        <v>91</v>
      </c>
      <c r="B92" t="s">
        <v>557</v>
      </c>
      <c r="C92" t="s">
        <v>468</v>
      </c>
      <c r="D92">
        <v>0.17031860221636497</v>
      </c>
    </row>
    <row r="93" spans="1:4" x14ac:dyDescent="0.25">
      <c r="A93">
        <v>92</v>
      </c>
      <c r="B93" t="s">
        <v>558</v>
      </c>
      <c r="C93" t="s">
        <v>468</v>
      </c>
      <c r="D93">
        <v>0.16534447279587017</v>
      </c>
    </row>
    <row r="94" spans="1:4" x14ac:dyDescent="0.25">
      <c r="A94">
        <v>93</v>
      </c>
      <c r="B94" t="s">
        <v>559</v>
      </c>
      <c r="C94" t="s">
        <v>468</v>
      </c>
      <c r="D94">
        <v>0.12933236503209533</v>
      </c>
    </row>
    <row r="95" spans="1:4" x14ac:dyDescent="0.25">
      <c r="A95">
        <v>94</v>
      </c>
      <c r="B95" t="s">
        <v>560</v>
      </c>
      <c r="C95" t="s">
        <v>468</v>
      </c>
      <c r="D95">
        <v>0.10327850265711713</v>
      </c>
    </row>
    <row r="96" spans="1:4" x14ac:dyDescent="0.25">
      <c r="A96">
        <v>95</v>
      </c>
      <c r="B96" t="s">
        <v>561</v>
      </c>
      <c r="C96" t="s">
        <v>468</v>
      </c>
      <c r="D96">
        <v>9.1793736085011957E-2</v>
      </c>
    </row>
    <row r="97" spans="1:4" x14ac:dyDescent="0.25">
      <c r="A97">
        <v>96</v>
      </c>
      <c r="B97" t="s">
        <v>562</v>
      </c>
      <c r="C97" t="s">
        <v>468</v>
      </c>
      <c r="D97">
        <v>8.8733284280525293E-2</v>
      </c>
    </row>
    <row r="98" spans="1:4" x14ac:dyDescent="0.25">
      <c r="A98">
        <v>97</v>
      </c>
      <c r="B98" t="s">
        <v>563</v>
      </c>
      <c r="C98" t="s">
        <v>468</v>
      </c>
      <c r="D98">
        <v>5.4548272175817702E-2</v>
      </c>
    </row>
    <row r="99" spans="1:4" x14ac:dyDescent="0.25">
      <c r="A99">
        <v>98</v>
      </c>
      <c r="B99" t="s">
        <v>564</v>
      </c>
      <c r="C99" t="s">
        <v>468</v>
      </c>
      <c r="D99">
        <v>5.1565855449651976E-2</v>
      </c>
    </row>
    <row r="100" spans="1:4" x14ac:dyDescent="0.25">
      <c r="A100">
        <v>99</v>
      </c>
      <c r="B100" t="s">
        <v>565</v>
      </c>
      <c r="C100" t="s">
        <v>468</v>
      </c>
      <c r="D100">
        <v>4.3452813582070648E-2</v>
      </c>
    </row>
    <row r="101" spans="1:4" x14ac:dyDescent="0.25">
      <c r="A101">
        <v>100</v>
      </c>
      <c r="B101" t="s">
        <v>566</v>
      </c>
      <c r="C101" t="s">
        <v>468</v>
      </c>
      <c r="D101">
        <v>2.3528576825188052E-2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Attendance_Single</vt:lpstr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MITS</cp:lastModifiedBy>
  <dcterms:created xsi:type="dcterms:W3CDTF">2026-06-20T06:45:21Z</dcterms:created>
  <dcterms:modified xsi:type="dcterms:W3CDTF">2026-07-01T07:29:25Z</dcterms:modified>
</cp:coreProperties>
</file>