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D83C895-28FF-465C-9682-67487291594F}" xr6:coauthVersionLast="47" xr6:coauthVersionMax="47" xr10:uidLastSave="{00000000-0000-0000-0000-000000000000}"/>
  <bookViews>
    <workbookView xWindow="-120" yWindow="-120" windowWidth="29040" windowHeight="15720" activeTab="1" xr2:uid="{D24B2B1E-943D-4588-A8EC-65B58DE2722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F18" i="1"/>
  <c r="F16" i="1"/>
  <c r="F17" i="1"/>
  <c r="F1048576" i="1" l="1"/>
</calcChain>
</file>

<file path=xl/sharedStrings.xml><?xml version="1.0" encoding="utf-8"?>
<sst xmlns="http://schemas.openxmlformats.org/spreadsheetml/2006/main" count="319" uniqueCount="110">
  <si>
    <t>First Name</t>
  </si>
  <si>
    <t>Last Name</t>
  </si>
  <si>
    <t>Gender</t>
  </si>
  <si>
    <t>Country</t>
  </si>
  <si>
    <t>Age</t>
  </si>
  <si>
    <t>Date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</si>
  <si>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</si>
  <si>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</si>
  <si>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</si>
  <si>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</si>
  <si>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</si>
  <si>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</si>
  <si>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</si>
  <si>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</si>
  <si>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</si>
  <si>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</si>
  <si>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</si>
  <si>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</si>
  <si>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</si>
  <si>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</si>
  <si>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</si>
  <si>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</si>
  <si>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</si>
  <si>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</si>
  <si>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</si>
  <si>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</si>
  <si>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</si>
  <si>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</si>
  <si>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</si>
  <si>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</si>
  <si>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</si>
  <si>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</si>
  <si>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</si>
  <si>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</si>
  <si>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</si>
  <si>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</si>
  <si>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</si>
  <si>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</si>
  <si>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</si>
  <si>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</si>
  <si>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</si>
  <si>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</si>
  <si>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sum</t>
  </si>
  <si>
    <t>mean</t>
  </si>
  <si>
    <t>id</t>
  </si>
  <si>
    <t>median</t>
  </si>
  <si>
    <t>RANGE</t>
  </si>
  <si>
    <t>SD</t>
  </si>
  <si>
    <t>VARIANCE</t>
  </si>
  <si>
    <t>CORRELATION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</si>
  <si>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</si>
  <si>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</si>
  <si>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</si>
  <si>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</si>
  <si>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</si>
  <si>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</si>
  <si>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</si>
  <si>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</si>
  <si>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</si>
  <si>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</si>
  <si>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</si>
  <si>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</si>
  <si>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</si>
  <si>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</si>
  <si>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</si>
  <si>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</si>
  <si>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</si>
  <si>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</si>
  <si>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</si>
  <si>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</si>
  <si>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</si>
  <si>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</si>
  <si>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</si>
  <si>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</si>
  <si>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</si>
  <si>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</si>
  <si>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</si>
  <si>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F-Test Two-Sample for Variances</t>
  </si>
  <si>
    <t>Variable 1</t>
  </si>
  <si>
    <t>Variable 2</t>
  </si>
  <si>
    <t>Variance</t>
  </si>
  <si>
    <t>Observations</t>
  </si>
  <si>
    <t>df</t>
  </si>
  <si>
    <t>F</t>
  </si>
  <si>
    <t>P(F&lt;=f) one-tail</t>
  </si>
  <si>
    <t>F Critical one-tail</t>
  </si>
  <si>
    <t>SUMMARY OUTPUT</t>
  </si>
  <si>
    <t>Regression Statistics</t>
  </si>
  <si>
    <t>Multiple R</t>
  </si>
  <si>
    <t>R Square</t>
  </si>
  <si>
    <t>Adjusted R Square</t>
  </si>
  <si>
    <t>ANOVA</t>
  </si>
  <si>
    <t>Regression</t>
  </si>
  <si>
    <t>Residual</t>
  </si>
  <si>
    <t>Total</t>
  </si>
  <si>
    <t>Intercept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</si>
  <si>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</si>
  <si>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</si>
  <si>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</si>
  <si>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</si>
  <si>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</si>
  <si>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</si>
  <si>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</si>
  <si>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</si>
  <si>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</si>
  <si>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</si>
  <si>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</si>
  <si>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</si>
  <si>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2587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</si>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</sst>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ourier New"/>
      <family val="3"/>
    </font>
    <font>
      <sz val="11"/>
      <name val="Courier New"/>
      <family val="3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Sheet1!$F$2:$F$15</c:f>
              <c:numCache>
                <c:formatCode>General</c:formatCode>
                <c:ptCount val="14"/>
                <c:pt idx="0">
                  <c:v>25</c:v>
                </c:pt>
                <c:pt idx="1">
                  <c:v>36</c:v>
                </c:pt>
                <c:pt idx="2">
                  <c:v>58</c:v>
                </c:pt>
                <c:pt idx="3">
                  <c:v>24</c:v>
                </c:pt>
                <c:pt idx="4">
                  <c:v>56</c:v>
                </c:pt>
                <c:pt idx="5">
                  <c:v>27</c:v>
                </c:pt>
                <c:pt idx="6">
                  <c:v>40</c:v>
                </c:pt>
                <c:pt idx="7">
                  <c:v>28</c:v>
                </c:pt>
                <c:pt idx="8">
                  <c:v>39</c:v>
                </c:pt>
                <c:pt idx="9">
                  <c:v>38</c:v>
                </c:pt>
                <c:pt idx="10">
                  <c:v>32</c:v>
                </c:pt>
                <c:pt idx="11">
                  <c:v>26</c:v>
                </c:pt>
                <c:pt idx="12">
                  <c:v>44</c:v>
                </c:pt>
                <c:pt idx="1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4-429E-B45D-265245D0A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94320"/>
        <c:axId val="622009200"/>
      </c:barChart>
      <c:catAx>
        <c:axId val="62199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09200"/>
        <c:crosses val="autoZero"/>
        <c:auto val="1"/>
        <c:lblAlgn val="ctr"/>
        <c:lblOffset val="100"/>
        <c:noMultiLvlLbl val="0"/>
      </c:catAx>
      <c:valAx>
        <c:axId val="6220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D1-4F1D-ADEF-ECF53E0A84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D1-4F1D-ADEF-ECF53E0A84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D1-4F1D-ADEF-ECF53E0A84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D1-4F1D-ADEF-ECF53E0A84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D1-4F1D-ADEF-ECF53E0A84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AD1-4F1D-ADEF-ECF53E0A84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D1-4F1D-ADEF-ECF53E0A84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AD1-4F1D-ADEF-ECF53E0A84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AD1-4F1D-ADEF-ECF53E0A84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AD1-4F1D-ADEF-ECF53E0A84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AD1-4F1D-ADEF-ECF53E0A84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AD1-4F1D-ADEF-ECF53E0A84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AD1-4F1D-ADEF-ECF53E0A84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AD1-4F1D-ADEF-ECF53E0A8405}"/>
              </c:ext>
            </c:extLst>
          </c:dPt>
          <c:val>
            <c:numRef>
              <c:f>Sheet1!$H$2:$H$15</c:f>
              <c:numCache>
                <c:formatCode>General</c:formatCode>
                <c:ptCount val="14"/>
                <c:pt idx="0">
                  <c:v>1562</c:v>
                </c:pt>
                <c:pt idx="1">
                  <c:v>1582</c:v>
                </c:pt>
                <c:pt idx="2">
                  <c:v>2587</c:v>
                </c:pt>
                <c:pt idx="3">
                  <c:v>3549</c:v>
                </c:pt>
                <c:pt idx="4">
                  <c:v>2468</c:v>
                </c:pt>
                <c:pt idx="5">
                  <c:v>2554</c:v>
                </c:pt>
                <c:pt idx="6">
                  <c:v>3598</c:v>
                </c:pt>
                <c:pt idx="7">
                  <c:v>2456</c:v>
                </c:pt>
                <c:pt idx="8">
                  <c:v>6548</c:v>
                </c:pt>
                <c:pt idx="9">
                  <c:v>5486</c:v>
                </c:pt>
                <c:pt idx="10">
                  <c:v>1258</c:v>
                </c:pt>
                <c:pt idx="11">
                  <c:v>2579</c:v>
                </c:pt>
                <c:pt idx="12">
                  <c:v>3256</c:v>
                </c:pt>
                <c:pt idx="13">
                  <c:v>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7-41F4-8C11-3E71B8736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Sheet1!$F$2:$F$15</c:f>
              <c:numCache>
                <c:formatCode>General</c:formatCode>
                <c:ptCount val="14"/>
                <c:pt idx="0">
                  <c:v>25</c:v>
                </c:pt>
                <c:pt idx="1">
                  <c:v>36</c:v>
                </c:pt>
                <c:pt idx="2">
                  <c:v>58</c:v>
                </c:pt>
                <c:pt idx="3">
                  <c:v>24</c:v>
                </c:pt>
                <c:pt idx="4">
                  <c:v>56</c:v>
                </c:pt>
                <c:pt idx="5">
                  <c:v>27</c:v>
                </c:pt>
                <c:pt idx="6">
                  <c:v>40</c:v>
                </c:pt>
                <c:pt idx="7">
                  <c:v>28</c:v>
                </c:pt>
                <c:pt idx="8">
                  <c:v>39</c:v>
                </c:pt>
                <c:pt idx="9">
                  <c:v>38</c:v>
                </c:pt>
                <c:pt idx="10">
                  <c:v>32</c:v>
                </c:pt>
                <c:pt idx="11">
                  <c:v>26</c:v>
                </c:pt>
                <c:pt idx="12">
                  <c:v>44</c:v>
                </c:pt>
                <c:pt idx="1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5-46C9-9E16-0F38B05B4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2040880"/>
        <c:axId val="622024560"/>
        <c:axId val="0"/>
      </c:bar3DChart>
      <c:catAx>
        <c:axId val="62204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24560"/>
        <c:crosses val="autoZero"/>
        <c:auto val="1"/>
        <c:lblAlgn val="ctr"/>
        <c:lblOffset val="100"/>
        <c:noMultiLvlLbl val="0"/>
      </c:catAx>
      <c:valAx>
        <c:axId val="6220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4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5F-4B00-A455-386C439B25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5F-4B00-A455-386C439B25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5F-4B00-A455-386C439B25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5F-4B00-A455-386C439B25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5F-4B00-A455-386C439B25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5F-4B00-A455-386C439B25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5F-4B00-A455-386C439B25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95F-4B00-A455-386C439B25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95F-4B00-A455-386C439B25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95F-4B00-A455-386C439B257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95F-4B00-A455-386C439B25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95F-4B00-A455-386C439B257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95F-4B00-A455-386C439B257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95F-4B00-A455-386C439B257D}"/>
              </c:ext>
            </c:extLst>
          </c:dPt>
          <c:val>
            <c:numRef>
              <c:f>Sheet1!$H$2:$H$15</c:f>
              <c:numCache>
                <c:formatCode>General</c:formatCode>
                <c:ptCount val="14"/>
                <c:pt idx="0">
                  <c:v>1562</c:v>
                </c:pt>
                <c:pt idx="1">
                  <c:v>1582</c:v>
                </c:pt>
                <c:pt idx="2">
                  <c:v>2587</c:v>
                </c:pt>
                <c:pt idx="3">
                  <c:v>3549</c:v>
                </c:pt>
                <c:pt idx="4">
                  <c:v>2468</c:v>
                </c:pt>
                <c:pt idx="5">
                  <c:v>2554</c:v>
                </c:pt>
                <c:pt idx="6">
                  <c:v>3598</c:v>
                </c:pt>
                <c:pt idx="7">
                  <c:v>2456</c:v>
                </c:pt>
                <c:pt idx="8">
                  <c:v>6548</c:v>
                </c:pt>
                <c:pt idx="9">
                  <c:v>5486</c:v>
                </c:pt>
                <c:pt idx="10">
                  <c:v>1258</c:v>
                </c:pt>
                <c:pt idx="11">
                  <c:v>2579</c:v>
                </c:pt>
                <c:pt idx="12">
                  <c:v>3256</c:v>
                </c:pt>
                <c:pt idx="13">
                  <c:v>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1-47FF-96CC-806AEB94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9E-2"/>
          <c:y val="0.19209499854184894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Sheet1!$F$2:$F$15</c:f>
              <c:numCache>
                <c:formatCode>General</c:formatCode>
                <c:ptCount val="14"/>
                <c:pt idx="0">
                  <c:v>25</c:v>
                </c:pt>
                <c:pt idx="1">
                  <c:v>36</c:v>
                </c:pt>
                <c:pt idx="2">
                  <c:v>58</c:v>
                </c:pt>
                <c:pt idx="3">
                  <c:v>24</c:v>
                </c:pt>
                <c:pt idx="4">
                  <c:v>56</c:v>
                </c:pt>
                <c:pt idx="5">
                  <c:v>27</c:v>
                </c:pt>
                <c:pt idx="6">
                  <c:v>40</c:v>
                </c:pt>
                <c:pt idx="7">
                  <c:v>28</c:v>
                </c:pt>
                <c:pt idx="8">
                  <c:v>39</c:v>
                </c:pt>
                <c:pt idx="9">
                  <c:v>38</c:v>
                </c:pt>
                <c:pt idx="10">
                  <c:v>32</c:v>
                </c:pt>
                <c:pt idx="11">
                  <c:v>26</c:v>
                </c:pt>
                <c:pt idx="12">
                  <c:v>44</c:v>
                </c:pt>
                <c:pt idx="1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B-4A79-B80D-7740C517DA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22033200"/>
        <c:axId val="622042320"/>
      </c:barChart>
      <c:catAx>
        <c:axId val="62203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42320"/>
        <c:crosses val="autoZero"/>
        <c:auto val="1"/>
        <c:lblAlgn val="ctr"/>
        <c:lblOffset val="100"/>
        <c:noMultiLvlLbl val="0"/>
      </c:catAx>
      <c:valAx>
        <c:axId val="622042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203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58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Sheet1!$F$5:$F$15</c:f>
              <c:numCache>
                <c:formatCode>General</c:formatCode>
                <c:ptCount val="11"/>
                <c:pt idx="0">
                  <c:v>24</c:v>
                </c:pt>
                <c:pt idx="1">
                  <c:v>56</c:v>
                </c:pt>
                <c:pt idx="2">
                  <c:v>27</c:v>
                </c:pt>
                <c:pt idx="3">
                  <c:v>40</c:v>
                </c:pt>
                <c:pt idx="4">
                  <c:v>28</c:v>
                </c:pt>
                <c:pt idx="5">
                  <c:v>39</c:v>
                </c:pt>
                <c:pt idx="6">
                  <c:v>38</c:v>
                </c:pt>
                <c:pt idx="7">
                  <c:v>32</c:v>
                </c:pt>
                <c:pt idx="8">
                  <c:v>26</c:v>
                </c:pt>
                <c:pt idx="9">
                  <c:v>44</c:v>
                </c:pt>
                <c:pt idx="10">
                  <c:v>53</c:v>
                </c:pt>
              </c:numCache>
            </c:numRef>
          </c:xVal>
          <c:yVal>
            <c:numRef>
              <c:f>Sheet4!$C$25:$C$35</c:f>
              <c:numCache>
                <c:formatCode>General</c:formatCode>
                <c:ptCount val="11"/>
                <c:pt idx="0">
                  <c:v>378.24025974025972</c:v>
                </c:pt>
                <c:pt idx="1">
                  <c:v>-1029.6168831168829</c:v>
                </c:pt>
                <c:pt idx="2">
                  <c:v>-647.40259740259717</c:v>
                </c:pt>
                <c:pt idx="3">
                  <c:v>263.81168831168816</c:v>
                </c:pt>
                <c:pt idx="4">
                  <c:v>-755.61688311688295</c:v>
                </c:pt>
                <c:pt idx="5">
                  <c:v>3224.0259740259739</c:v>
                </c:pt>
                <c:pt idx="6">
                  <c:v>2172.2402597402597</c:v>
                </c:pt>
                <c:pt idx="7">
                  <c:v>-1994.4740259740261</c:v>
                </c:pt>
                <c:pt idx="8">
                  <c:v>-612.18831168831184</c:v>
                </c:pt>
                <c:pt idx="9">
                  <c:v>-119.0454545454545</c:v>
                </c:pt>
                <c:pt idx="10">
                  <c:v>-879.97402597402606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2F-4459-BF7A-3A4B611C6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030800"/>
        <c:axId val="622036560"/>
      </c:scatterChart>
      <c:valAx>
        <c:axId val="62203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036560"/>
        <c:crosses val="autoZero"/>
        <c:crossBetween val="midCat"/>
      </c:valAx>
      <c:valAx>
        <c:axId val="62203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0308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58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Sheet1!$F$5:$F$15</c:f>
              <c:numCache>
                <c:formatCode>General</c:formatCode>
                <c:ptCount val="11"/>
                <c:pt idx="0">
                  <c:v>24</c:v>
                </c:pt>
                <c:pt idx="1">
                  <c:v>56</c:v>
                </c:pt>
                <c:pt idx="2">
                  <c:v>27</c:v>
                </c:pt>
                <c:pt idx="3">
                  <c:v>40</c:v>
                </c:pt>
                <c:pt idx="4">
                  <c:v>28</c:v>
                </c:pt>
                <c:pt idx="5">
                  <c:v>39</c:v>
                </c:pt>
                <c:pt idx="6">
                  <c:v>38</c:v>
                </c:pt>
                <c:pt idx="7">
                  <c:v>32</c:v>
                </c:pt>
                <c:pt idx="8">
                  <c:v>26</c:v>
                </c:pt>
                <c:pt idx="9">
                  <c:v>44</c:v>
                </c:pt>
                <c:pt idx="10">
                  <c:v>53</c:v>
                </c:pt>
              </c:numCache>
            </c:numRef>
          </c:xVal>
          <c:yVal>
            <c:numRef>
              <c:f>Sheet1!$H$5:$H$15</c:f>
              <c:numCache>
                <c:formatCode>General</c:formatCode>
                <c:ptCount val="11"/>
                <c:pt idx="0">
                  <c:v>3549</c:v>
                </c:pt>
                <c:pt idx="1">
                  <c:v>2468</c:v>
                </c:pt>
                <c:pt idx="2">
                  <c:v>2554</c:v>
                </c:pt>
                <c:pt idx="3">
                  <c:v>3598</c:v>
                </c:pt>
                <c:pt idx="4">
                  <c:v>2456</c:v>
                </c:pt>
                <c:pt idx="5">
                  <c:v>6548</c:v>
                </c:pt>
                <c:pt idx="6">
                  <c:v>5486</c:v>
                </c:pt>
                <c:pt idx="7">
                  <c:v>1258</c:v>
                </c:pt>
                <c:pt idx="8">
                  <c:v>2579</c:v>
                </c:pt>
                <c:pt idx="9">
                  <c:v>3256</c:v>
                </c:pt>
                <c:pt idx="10">
                  <c:v>2587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00-4F6A-91F6-7A7345CF4992}"/>
            </c:ext>
          </c:extLst>
        </c:ser>
        <c:ser>
          <c:idx val="1"/>
          <c:order val="1"/>
          <c:tx>
            <c:v>Predicted 2587</c:v>
          </c:tx>
          <c:spPr>
            <a:ln w="19050">
              <a:noFill/>
            </a:ln>
          </c:spPr>
          <c:xVal>
            <c:numRef>
              <c:f>Sheet1!$F$5:$F$15</c:f>
              <c:numCache>
                <c:formatCode>General</c:formatCode>
                <c:ptCount val="11"/>
                <c:pt idx="0">
                  <c:v>24</c:v>
                </c:pt>
                <c:pt idx="1">
                  <c:v>56</c:v>
                </c:pt>
                <c:pt idx="2">
                  <c:v>27</c:v>
                </c:pt>
                <c:pt idx="3">
                  <c:v>40</c:v>
                </c:pt>
                <c:pt idx="4">
                  <c:v>28</c:v>
                </c:pt>
                <c:pt idx="5">
                  <c:v>39</c:v>
                </c:pt>
                <c:pt idx="6">
                  <c:v>38</c:v>
                </c:pt>
                <c:pt idx="7">
                  <c:v>32</c:v>
                </c:pt>
                <c:pt idx="8">
                  <c:v>26</c:v>
                </c:pt>
                <c:pt idx="9">
                  <c:v>44</c:v>
                </c:pt>
                <c:pt idx="10">
                  <c:v>53</c:v>
                </c:pt>
              </c:numCache>
            </c:numRef>
          </c:xVal>
          <c:yVal>
            <c:numRef>
              <c:f>Sheet4!$B$25:$B$35</c:f>
              <c:numCache>
                <c:formatCode>General</c:formatCode>
                <c:ptCount val="11"/>
                <c:pt idx="0">
                  <c:v>3170.7597402597403</c:v>
                </c:pt>
                <c:pt idx="1">
                  <c:v>3497.6168831168829</c:v>
                </c:pt>
                <c:pt idx="2">
                  <c:v>3201.4025974025972</c:v>
                </c:pt>
                <c:pt idx="3">
                  <c:v>3334.1883116883118</c:v>
                </c:pt>
                <c:pt idx="4">
                  <c:v>3211.6168831168829</c:v>
                </c:pt>
                <c:pt idx="5">
                  <c:v>3323.9740259740261</c:v>
                </c:pt>
                <c:pt idx="6">
                  <c:v>3313.7597402597403</c:v>
                </c:pt>
                <c:pt idx="7">
                  <c:v>3252.4740259740261</c:v>
                </c:pt>
                <c:pt idx="8">
                  <c:v>3191.1883116883118</c:v>
                </c:pt>
                <c:pt idx="9">
                  <c:v>3375.0454545454545</c:v>
                </c:pt>
                <c:pt idx="10">
                  <c:v>3466.9740259740261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00-4F6A-91F6-7A7345CF4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16416"/>
        <c:axId val="283616896"/>
      </c:scatterChart>
      <c:valAx>
        <c:axId val="28361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3616896"/>
        <c:crosses val="autoZero"/>
        <c:crossBetween val="midCat"/>
      </c:valAx>
      <c:valAx>
        <c:axId val="283616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2587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3616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11</xdr:row>
      <xdr:rowOff>52387</xdr:rowOff>
    </xdr:from>
    <xdr:to>
      <xdr:col>17</xdr:col>
      <xdr:colOff>590550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3878E-AF2C-AE07-9787-829078036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11</xdr:row>
      <xdr:rowOff>52387</xdr:rowOff>
    </xdr:from>
    <xdr:to>
      <xdr:col>17</xdr:col>
      <xdr:colOff>590550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FB5EE-0D8A-430C-FDE7-F5B293B3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285750</xdr:colOff>
      <xdr:row>11</xdr:row>
      <xdr:rowOff>52387</xdr:rowOff>
    </xdr:from>
    <xdr:to>
      <xdr:col>17</xdr:col>
      <xdr:colOff>590550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94FBB8-8A7C-F531-2D56-CA2816E3E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11</xdr:row>
      <xdr:rowOff>52387</xdr:rowOff>
    </xdr:from>
    <xdr:to>
      <xdr:col>17</xdr:col>
      <xdr:colOff>590550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47F9CD-CD65-2317-85C4-C0CEA271B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104775</xdr:colOff>
      <xdr:row>11</xdr:row>
      <xdr:rowOff>42862</xdr:rowOff>
    </xdr:from>
    <xdr:to>
      <xdr:col>25</xdr:col>
      <xdr:colOff>409575</xdr:colOff>
      <xdr:row>25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A88D79-1205-09D3-6853-510A861E1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ED35D-B21C-5254-EB8B-E7C3DB013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11</xdr:row>
      <xdr:rowOff>114300</xdr:rowOff>
    </xdr:from>
    <xdr:to>
      <xdr:col>15</xdr:col>
      <xdr:colOff>247650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1B079-A8E3-802A-5CA6-397BD051F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DC11-D170-4925-9310-ADBE0B600D3D}">
  <dimension ref="A1:I1048576"/>
  <sheetViews>
    <sheetView workbookViewId="0">
      <selection activeCell="H19" sqref="H19:H20"/>
    </sheetView>
  </sheetViews>
  <sheetFormatPr defaultRowHeight="15" x14ac:dyDescent="0.25"/>
  <cols>
    <col min="8" max="8" width="12.85546875" bestFit="1" customWidth="1"/>
  </cols>
  <sheetData>
    <row r="1" spans="1:9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44</v>
      </c>
      <c r="I1" s="1"/>
    </row>
    <row r="2" spans="1:9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25</v>
      </c>
      <c r="G2" s="2" t="s">
        <v>10</v>
      </c>
      <c r="H2">
        <v>1562</v>
      </c>
    </row>
    <row r="3" spans="1:9" x14ac:dyDescent="0.25">
      <c r="A3">
        <v>2</v>
      </c>
      <c r="B3" t="s">
        <v>11</v>
      </c>
      <c r="C3" t="s">
        <v>12</v>
      </c>
      <c r="D3" t="s">
        <v>8</v>
      </c>
      <c r="E3" t="s">
        <v>13</v>
      </c>
      <c r="F3">
        <v>36</v>
      </c>
      <c r="G3" t="s">
        <v>14</v>
      </c>
      <c r="H3">
        <v>1582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58</v>
      </c>
      <c r="G4" t="s">
        <v>19</v>
      </c>
      <c r="H4">
        <v>2587</v>
      </c>
    </row>
    <row r="5" spans="1:9" x14ac:dyDescent="0.25">
      <c r="A5">
        <v>4</v>
      </c>
      <c r="B5" t="s">
        <v>20</v>
      </c>
      <c r="C5" t="s">
        <v>21</v>
      </c>
      <c r="D5" t="s">
        <v>8</v>
      </c>
      <c r="E5" t="s">
        <v>9</v>
      </c>
      <c r="F5">
        <v>24</v>
      </c>
      <c r="G5" s="2" t="s">
        <v>10</v>
      </c>
      <c r="H5">
        <v>3549</v>
      </c>
    </row>
    <row r="6" spans="1:9" x14ac:dyDescent="0.25">
      <c r="A6">
        <v>5</v>
      </c>
      <c r="B6" t="s">
        <v>22</v>
      </c>
      <c r="C6" t="s">
        <v>23</v>
      </c>
      <c r="D6" t="s">
        <v>8</v>
      </c>
      <c r="E6" t="s">
        <v>9</v>
      </c>
      <c r="F6">
        <v>56</v>
      </c>
      <c r="G6" t="s">
        <v>14</v>
      </c>
      <c r="H6">
        <v>2468</v>
      </c>
    </row>
    <row r="7" spans="1:9" x14ac:dyDescent="0.25">
      <c r="A7">
        <v>6</v>
      </c>
      <c r="B7" t="s">
        <v>24</v>
      </c>
      <c r="C7" t="s">
        <v>25</v>
      </c>
      <c r="D7" t="s">
        <v>17</v>
      </c>
      <c r="E7" t="s">
        <v>9</v>
      </c>
      <c r="F7">
        <v>27</v>
      </c>
      <c r="G7" t="s">
        <v>19</v>
      </c>
      <c r="H7">
        <v>2554</v>
      </c>
    </row>
    <row r="8" spans="1:9" x14ac:dyDescent="0.25">
      <c r="A8">
        <v>7</v>
      </c>
      <c r="B8" t="s">
        <v>26</v>
      </c>
      <c r="C8" t="s">
        <v>27</v>
      </c>
      <c r="D8" t="s">
        <v>8</v>
      </c>
      <c r="E8" t="s">
        <v>13</v>
      </c>
      <c r="F8">
        <v>40</v>
      </c>
      <c r="G8" s="2" t="s">
        <v>10</v>
      </c>
      <c r="H8">
        <v>3598</v>
      </c>
    </row>
    <row r="9" spans="1:9" x14ac:dyDescent="0.25">
      <c r="A9">
        <v>8</v>
      </c>
      <c r="B9" t="s">
        <v>28</v>
      </c>
      <c r="C9" t="s">
        <v>29</v>
      </c>
      <c r="D9" t="s">
        <v>8</v>
      </c>
      <c r="E9" t="s">
        <v>9</v>
      </c>
      <c r="F9">
        <v>28</v>
      </c>
      <c r="G9" t="s">
        <v>14</v>
      </c>
      <c r="H9">
        <v>2456</v>
      </c>
    </row>
    <row r="10" spans="1:9" x14ac:dyDescent="0.25">
      <c r="A10">
        <v>9</v>
      </c>
      <c r="B10" t="s">
        <v>30</v>
      </c>
      <c r="C10" t="s">
        <v>31</v>
      </c>
      <c r="D10" t="s">
        <v>8</v>
      </c>
      <c r="E10" t="s">
        <v>9</v>
      </c>
      <c r="F10">
        <v>39</v>
      </c>
      <c r="G10" t="s">
        <v>19</v>
      </c>
      <c r="H10">
        <v>6548</v>
      </c>
    </row>
    <row r="11" spans="1:9" x14ac:dyDescent="0.25">
      <c r="A11">
        <v>10</v>
      </c>
      <c r="B11" t="s">
        <v>32</v>
      </c>
      <c r="C11" t="s">
        <v>33</v>
      </c>
      <c r="D11" t="s">
        <v>8</v>
      </c>
      <c r="E11" t="s">
        <v>13</v>
      </c>
      <c r="F11">
        <v>38</v>
      </c>
      <c r="G11" t="s">
        <v>14</v>
      </c>
      <c r="H11">
        <v>5486</v>
      </c>
    </row>
    <row r="12" spans="1:9" x14ac:dyDescent="0.25">
      <c r="A12">
        <v>11</v>
      </c>
      <c r="B12" t="s">
        <v>34</v>
      </c>
      <c r="C12" t="s">
        <v>35</v>
      </c>
      <c r="D12" t="s">
        <v>8</v>
      </c>
      <c r="E12" t="s">
        <v>13</v>
      </c>
      <c r="F12">
        <v>32</v>
      </c>
      <c r="G12" t="s">
        <v>19</v>
      </c>
      <c r="H12">
        <v>1258</v>
      </c>
    </row>
    <row r="13" spans="1:9" x14ac:dyDescent="0.25">
      <c r="A13">
        <v>12</v>
      </c>
      <c r="B13" t="s">
        <v>36</v>
      </c>
      <c r="C13" t="s">
        <v>37</v>
      </c>
      <c r="D13" t="s">
        <v>17</v>
      </c>
      <c r="E13" t="s">
        <v>18</v>
      </c>
      <c r="F13">
        <v>26</v>
      </c>
      <c r="G13" s="2" t="s">
        <v>10</v>
      </c>
      <c r="H13">
        <v>2579</v>
      </c>
    </row>
    <row r="14" spans="1:9" x14ac:dyDescent="0.25">
      <c r="A14">
        <v>13</v>
      </c>
      <c r="B14" t="s">
        <v>38</v>
      </c>
      <c r="C14" t="s">
        <v>39</v>
      </c>
      <c r="D14" t="s">
        <v>8</v>
      </c>
      <c r="E14" t="s">
        <v>13</v>
      </c>
      <c r="F14">
        <v>44</v>
      </c>
      <c r="G14" t="s">
        <v>14</v>
      </c>
      <c r="H14">
        <v>3256</v>
      </c>
    </row>
    <row r="15" spans="1:9" x14ac:dyDescent="0.25">
      <c r="A15">
        <v>14</v>
      </c>
      <c r="B15" t="s">
        <v>40</v>
      </c>
      <c r="C15" t="s">
        <v>41</v>
      </c>
      <c r="D15" t="s">
        <v>17</v>
      </c>
      <c r="E15" t="s">
        <v>13</v>
      </c>
      <c r="F15">
        <v>53</v>
      </c>
      <c r="G15" t="s">
        <v>19</v>
      </c>
      <c r="H15">
        <v>2587</v>
      </c>
    </row>
    <row r="16" spans="1:9" x14ac:dyDescent="0.25">
      <c r="F16">
        <f>SUM(F2:F15)</f>
        <v>526</v>
      </c>
      <c r="G16" t="s">
        <v>42</v>
      </c>
      <c r="H16">
        <f>MEDIAN(H2:H15)</f>
        <v>2583</v>
      </c>
      <c r="I16" t="s">
        <v>45</v>
      </c>
    </row>
    <row r="17" spans="6:9" x14ac:dyDescent="0.25">
      <c r="F17">
        <f>AVERAGE(F2:F15)</f>
        <v>37.571428571428569</v>
      </c>
      <c r="G17" t="s">
        <v>43</v>
      </c>
      <c r="H17">
        <f>MAX(H2:H15)-MIN(H2:H15)</f>
        <v>5290</v>
      </c>
      <c r="I17" t="s">
        <v>46</v>
      </c>
    </row>
    <row r="18" spans="6:9" x14ac:dyDescent="0.25">
      <c r="F18">
        <f>_xlfn.VAR.S(F2:F15)</f>
        <v>135.18681318681325</v>
      </c>
      <c r="G18" t="s">
        <v>48</v>
      </c>
      <c r="H18">
        <f>_xlfn.STDEV.S(H2:H15)</f>
        <v>1465.0302700994584</v>
      </c>
      <c r="I18" t="s">
        <v>47</v>
      </c>
    </row>
    <row r="19" spans="6:9" x14ac:dyDescent="0.25">
      <c r="F19" s="4"/>
      <c r="H19" s="5">
        <f>CORREL(F2:F15, H2:H15)</f>
        <v>9.922754353661821E-2</v>
      </c>
      <c r="I19" t="s">
        <v>49</v>
      </c>
    </row>
    <row r="1048576" spans="6:6" x14ac:dyDescent="0.25">
      <c r="F1048576">
        <f>AVERAGE(F2:F1048575)</f>
        <v>72.044602456367173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1A6A-E106-4E3E-BC83-D8334E13E337}">
  <dimension ref="A1:AB15"/>
  <sheetViews>
    <sheetView tabSelected="1" workbookViewId="0">
      <selection activeCell="H18" sqref="H18"/>
    </sheetView>
  </sheetViews>
  <sheetFormatPr defaultRowHeight="15" x14ac:dyDescent="0.25"/>
  <sheetData>
    <row r="1" spans="1:28" x14ac:dyDescent="0.25">
      <c r="A1" t="s">
        <v>50</v>
      </c>
      <c r="C1" t="s">
        <v>51</v>
      </c>
      <c r="E1" t="s">
        <v>52</v>
      </c>
      <c r="G1" t="s">
        <v>53</v>
      </c>
      <c r="I1" t="s">
        <v>54</v>
      </c>
      <c r="K1" t="s">
        <v>55</v>
      </c>
      <c r="M1" t="s">
        <v>56</v>
      </c>
      <c r="O1" t="s">
        <v>57</v>
      </c>
      <c r="Q1" t="s">
        <v>58</v>
      </c>
      <c r="S1" t="s">
        <v>59</v>
      </c>
      <c r="U1" t="s">
        <v>60</v>
      </c>
      <c r="W1" t="s">
        <v>61</v>
      </c>
      <c r="Y1" t="s">
        <v>62</v>
      </c>
      <c r="AA1" t="s">
        <v>63</v>
      </c>
    </row>
    <row r="3" spans="1:28" x14ac:dyDescent="0.25">
      <c r="A3" t="s">
        <v>64</v>
      </c>
      <c r="B3">
        <v>1562</v>
      </c>
      <c r="C3" t="s">
        <v>64</v>
      </c>
      <c r="D3">
        <v>1582</v>
      </c>
      <c r="E3" t="s">
        <v>64</v>
      </c>
      <c r="F3">
        <v>2587</v>
      </c>
      <c r="G3" t="s">
        <v>64</v>
      </c>
      <c r="H3">
        <v>3549</v>
      </c>
      <c r="I3" t="s">
        <v>64</v>
      </c>
      <c r="J3">
        <v>2468</v>
      </c>
      <c r="K3" t="s">
        <v>64</v>
      </c>
      <c r="L3">
        <v>2554</v>
      </c>
      <c r="M3" t="s">
        <v>64</v>
      </c>
      <c r="N3">
        <v>3598</v>
      </c>
      <c r="O3" t="s">
        <v>64</v>
      </c>
      <c r="P3">
        <v>2456</v>
      </c>
      <c r="Q3" t="s">
        <v>64</v>
      </c>
      <c r="R3">
        <v>6548</v>
      </c>
      <c r="S3" t="s">
        <v>64</v>
      </c>
      <c r="T3">
        <v>5486</v>
      </c>
      <c r="U3" t="s">
        <v>64</v>
      </c>
      <c r="V3">
        <v>1258</v>
      </c>
      <c r="W3" t="s">
        <v>64</v>
      </c>
      <c r="X3">
        <v>2579</v>
      </c>
      <c r="Y3" t="s">
        <v>64</v>
      </c>
      <c r="Z3">
        <v>3256</v>
      </c>
      <c r="AA3" t="s">
        <v>64</v>
      </c>
      <c r="AB3">
        <v>2587</v>
      </c>
    </row>
    <row r="4" spans="1:28" x14ac:dyDescent="0.25">
      <c r="A4" t="s">
        <v>65</v>
      </c>
      <c r="B4">
        <v>0</v>
      </c>
      <c r="C4" t="s">
        <v>65</v>
      </c>
      <c r="D4">
        <v>0</v>
      </c>
      <c r="E4" t="s">
        <v>65</v>
      </c>
      <c r="F4">
        <v>0</v>
      </c>
      <c r="G4" t="s">
        <v>65</v>
      </c>
      <c r="H4">
        <v>0</v>
      </c>
      <c r="I4" t="s">
        <v>65</v>
      </c>
      <c r="J4">
        <v>0</v>
      </c>
      <c r="K4" t="s">
        <v>65</v>
      </c>
      <c r="L4">
        <v>0</v>
      </c>
      <c r="M4" t="s">
        <v>65</v>
      </c>
      <c r="N4">
        <v>0</v>
      </c>
      <c r="O4" t="s">
        <v>65</v>
      </c>
      <c r="P4">
        <v>0</v>
      </c>
      <c r="Q4" t="s">
        <v>65</v>
      </c>
      <c r="R4">
        <v>0</v>
      </c>
      <c r="S4" t="s">
        <v>65</v>
      </c>
      <c r="T4">
        <v>0</v>
      </c>
      <c r="U4" t="s">
        <v>65</v>
      </c>
      <c r="V4">
        <v>0</v>
      </c>
      <c r="W4" t="s">
        <v>65</v>
      </c>
      <c r="X4">
        <v>0</v>
      </c>
      <c r="Y4" t="s">
        <v>65</v>
      </c>
      <c r="Z4">
        <v>0</v>
      </c>
      <c r="AA4" t="s">
        <v>65</v>
      </c>
      <c r="AB4">
        <v>0</v>
      </c>
    </row>
    <row r="5" spans="1:28" x14ac:dyDescent="0.25">
      <c r="A5" t="s">
        <v>66</v>
      </c>
      <c r="B5">
        <v>1562</v>
      </c>
      <c r="C5" t="s">
        <v>66</v>
      </c>
      <c r="D5">
        <v>1582</v>
      </c>
      <c r="E5" t="s">
        <v>66</v>
      </c>
      <c r="F5">
        <v>2587</v>
      </c>
      <c r="G5" t="s">
        <v>66</v>
      </c>
      <c r="H5">
        <v>3549</v>
      </c>
      <c r="I5" t="s">
        <v>66</v>
      </c>
      <c r="J5">
        <v>2468</v>
      </c>
      <c r="K5" t="s">
        <v>66</v>
      </c>
      <c r="L5">
        <v>2554</v>
      </c>
      <c r="M5" t="s">
        <v>66</v>
      </c>
      <c r="N5">
        <v>3598</v>
      </c>
      <c r="O5" t="s">
        <v>66</v>
      </c>
      <c r="P5">
        <v>2456</v>
      </c>
      <c r="Q5" t="s">
        <v>66</v>
      </c>
      <c r="R5">
        <v>6548</v>
      </c>
      <c r="S5" t="s">
        <v>66</v>
      </c>
      <c r="T5">
        <v>5486</v>
      </c>
      <c r="U5" t="s">
        <v>66</v>
      </c>
      <c r="V5">
        <v>1258</v>
      </c>
      <c r="W5" t="s">
        <v>66</v>
      </c>
      <c r="X5">
        <v>2579</v>
      </c>
      <c r="Y5" t="s">
        <v>66</v>
      </c>
      <c r="Z5">
        <v>3256</v>
      </c>
      <c r="AA5" t="s">
        <v>66</v>
      </c>
      <c r="AB5">
        <v>2587</v>
      </c>
    </row>
    <row r="6" spans="1:28" x14ac:dyDescent="0.25">
      <c r="A6" t="s">
        <v>67</v>
      </c>
      <c r="B6" t="e">
        <v>#N/A</v>
      </c>
      <c r="C6" t="s">
        <v>67</v>
      </c>
      <c r="D6" t="e">
        <v>#N/A</v>
      </c>
      <c r="E6" t="s">
        <v>67</v>
      </c>
      <c r="F6" t="e">
        <v>#N/A</v>
      </c>
      <c r="G6" t="s">
        <v>67</v>
      </c>
      <c r="H6" t="e">
        <v>#N/A</v>
      </c>
      <c r="I6" t="s">
        <v>67</v>
      </c>
      <c r="J6" t="e">
        <v>#N/A</v>
      </c>
      <c r="K6" t="s">
        <v>67</v>
      </c>
      <c r="L6" t="e">
        <v>#N/A</v>
      </c>
      <c r="M6" t="s">
        <v>67</v>
      </c>
      <c r="N6" t="e">
        <v>#N/A</v>
      </c>
      <c r="O6" t="s">
        <v>67</v>
      </c>
      <c r="P6" t="e">
        <v>#N/A</v>
      </c>
      <c r="Q6" t="s">
        <v>67</v>
      </c>
      <c r="R6" t="e">
        <v>#N/A</v>
      </c>
      <c r="S6" t="s">
        <v>67</v>
      </c>
      <c r="T6" t="e">
        <v>#N/A</v>
      </c>
      <c r="U6" t="s">
        <v>67</v>
      </c>
      <c r="V6" t="e">
        <v>#N/A</v>
      </c>
      <c r="W6" t="s">
        <v>67</v>
      </c>
      <c r="X6" t="e">
        <v>#N/A</v>
      </c>
      <c r="Y6" t="s">
        <v>67</v>
      </c>
      <c r="Z6" t="e">
        <v>#N/A</v>
      </c>
      <c r="AA6" t="s">
        <v>67</v>
      </c>
      <c r="AB6" t="e">
        <v>#N/A</v>
      </c>
    </row>
    <row r="7" spans="1:28" x14ac:dyDescent="0.25">
      <c r="A7" t="s">
        <v>68</v>
      </c>
      <c r="B7" t="e">
        <v>#DIV/0!</v>
      </c>
      <c r="C7" t="s">
        <v>68</v>
      </c>
      <c r="D7" t="e">
        <v>#DIV/0!</v>
      </c>
      <c r="E7" t="s">
        <v>68</v>
      </c>
      <c r="F7" t="e">
        <v>#DIV/0!</v>
      </c>
      <c r="G7" t="s">
        <v>68</v>
      </c>
      <c r="H7" t="e">
        <v>#DIV/0!</v>
      </c>
      <c r="I7" t="s">
        <v>68</v>
      </c>
      <c r="J7" t="e">
        <v>#DIV/0!</v>
      </c>
      <c r="K7" t="s">
        <v>68</v>
      </c>
      <c r="L7" t="e">
        <v>#DIV/0!</v>
      </c>
      <c r="M7" t="s">
        <v>68</v>
      </c>
      <c r="N7" t="e">
        <v>#DIV/0!</v>
      </c>
      <c r="O7" t="s">
        <v>68</v>
      </c>
      <c r="P7" t="e">
        <v>#DIV/0!</v>
      </c>
      <c r="Q7" t="s">
        <v>68</v>
      </c>
      <c r="R7" t="e">
        <v>#DIV/0!</v>
      </c>
      <c r="S7" t="s">
        <v>68</v>
      </c>
      <c r="T7" t="e">
        <v>#DIV/0!</v>
      </c>
      <c r="U7" t="s">
        <v>68</v>
      </c>
      <c r="V7" t="e">
        <v>#DIV/0!</v>
      </c>
      <c r="W7" t="s">
        <v>68</v>
      </c>
      <c r="X7" t="e">
        <v>#DIV/0!</v>
      </c>
      <c r="Y7" t="s">
        <v>68</v>
      </c>
      <c r="Z7" t="e">
        <v>#DIV/0!</v>
      </c>
      <c r="AA7" t="s">
        <v>68</v>
      </c>
      <c r="AB7" t="e">
        <v>#DIV/0!</v>
      </c>
    </row>
    <row r="8" spans="1:28" x14ac:dyDescent="0.25">
      <c r="A8" t="s">
        <v>69</v>
      </c>
      <c r="B8" t="e">
        <v>#DIV/0!</v>
      </c>
      <c r="C8" t="s">
        <v>69</v>
      </c>
      <c r="D8" t="e">
        <v>#DIV/0!</v>
      </c>
      <c r="E8" t="s">
        <v>69</v>
      </c>
      <c r="F8" t="e">
        <v>#DIV/0!</v>
      </c>
      <c r="G8" t="s">
        <v>69</v>
      </c>
      <c r="H8" t="e">
        <v>#DIV/0!</v>
      </c>
      <c r="I8" t="s">
        <v>69</v>
      </c>
      <c r="J8" t="e">
        <v>#DIV/0!</v>
      </c>
      <c r="K8" t="s">
        <v>69</v>
      </c>
      <c r="L8" t="e">
        <v>#DIV/0!</v>
      </c>
      <c r="M8" t="s">
        <v>69</v>
      </c>
      <c r="N8" t="e">
        <v>#DIV/0!</v>
      </c>
      <c r="O8" t="s">
        <v>69</v>
      </c>
      <c r="P8" t="e">
        <v>#DIV/0!</v>
      </c>
      <c r="Q8" t="s">
        <v>69</v>
      </c>
      <c r="R8" t="e">
        <v>#DIV/0!</v>
      </c>
      <c r="S8" t="s">
        <v>69</v>
      </c>
      <c r="T8" t="e">
        <v>#DIV/0!</v>
      </c>
      <c r="U8" t="s">
        <v>69</v>
      </c>
      <c r="V8" t="e">
        <v>#DIV/0!</v>
      </c>
      <c r="W8" t="s">
        <v>69</v>
      </c>
      <c r="X8" t="e">
        <v>#DIV/0!</v>
      </c>
      <c r="Y8" t="s">
        <v>69</v>
      </c>
      <c r="Z8" t="e">
        <v>#DIV/0!</v>
      </c>
      <c r="AA8" t="s">
        <v>69</v>
      </c>
      <c r="AB8" t="e">
        <v>#DIV/0!</v>
      </c>
    </row>
    <row r="9" spans="1:28" x14ac:dyDescent="0.25">
      <c r="A9" t="s">
        <v>70</v>
      </c>
      <c r="B9" t="e">
        <v>#DIV/0!</v>
      </c>
      <c r="C9" t="s">
        <v>70</v>
      </c>
      <c r="D9" t="e">
        <v>#DIV/0!</v>
      </c>
      <c r="E9" t="s">
        <v>70</v>
      </c>
      <c r="F9" t="e">
        <v>#DIV/0!</v>
      </c>
      <c r="G9" t="s">
        <v>70</v>
      </c>
      <c r="H9" t="e">
        <v>#DIV/0!</v>
      </c>
      <c r="I9" t="s">
        <v>70</v>
      </c>
      <c r="J9" t="e">
        <v>#DIV/0!</v>
      </c>
      <c r="K9" t="s">
        <v>70</v>
      </c>
      <c r="L9" t="e">
        <v>#DIV/0!</v>
      </c>
      <c r="M9" t="s">
        <v>70</v>
      </c>
      <c r="N9" t="e">
        <v>#DIV/0!</v>
      </c>
      <c r="O9" t="s">
        <v>70</v>
      </c>
      <c r="P9" t="e">
        <v>#DIV/0!</v>
      </c>
      <c r="Q9" t="s">
        <v>70</v>
      </c>
      <c r="R9" t="e">
        <v>#DIV/0!</v>
      </c>
      <c r="S9" t="s">
        <v>70</v>
      </c>
      <c r="T9" t="e">
        <v>#DIV/0!</v>
      </c>
      <c r="U9" t="s">
        <v>70</v>
      </c>
      <c r="V9" t="e">
        <v>#DIV/0!</v>
      </c>
      <c r="W9" t="s">
        <v>70</v>
      </c>
      <c r="X9" t="e">
        <v>#DIV/0!</v>
      </c>
      <c r="Y9" t="s">
        <v>70</v>
      </c>
      <c r="Z9" t="e">
        <v>#DIV/0!</v>
      </c>
      <c r="AA9" t="s">
        <v>70</v>
      </c>
      <c r="AB9" t="e">
        <v>#DIV/0!</v>
      </c>
    </row>
    <row r="10" spans="1:28" x14ac:dyDescent="0.25">
      <c r="A10" t="s">
        <v>71</v>
      </c>
      <c r="B10" t="e">
        <v>#DIV/0!</v>
      </c>
      <c r="C10" t="s">
        <v>71</v>
      </c>
      <c r="D10" t="e">
        <v>#DIV/0!</v>
      </c>
      <c r="E10" t="s">
        <v>71</v>
      </c>
      <c r="F10" t="e">
        <v>#DIV/0!</v>
      </c>
      <c r="G10" t="s">
        <v>71</v>
      </c>
      <c r="H10" t="e">
        <v>#DIV/0!</v>
      </c>
      <c r="I10" t="s">
        <v>71</v>
      </c>
      <c r="J10" t="e">
        <v>#DIV/0!</v>
      </c>
      <c r="K10" t="s">
        <v>71</v>
      </c>
      <c r="L10" t="e">
        <v>#DIV/0!</v>
      </c>
      <c r="M10" t="s">
        <v>71</v>
      </c>
      <c r="N10" t="e">
        <v>#DIV/0!</v>
      </c>
      <c r="O10" t="s">
        <v>71</v>
      </c>
      <c r="P10" t="e">
        <v>#DIV/0!</v>
      </c>
      <c r="Q10" t="s">
        <v>71</v>
      </c>
      <c r="R10" t="e">
        <v>#DIV/0!</v>
      </c>
      <c r="S10" t="s">
        <v>71</v>
      </c>
      <c r="T10" t="e">
        <v>#DIV/0!</v>
      </c>
      <c r="U10" t="s">
        <v>71</v>
      </c>
      <c r="V10" t="e">
        <v>#DIV/0!</v>
      </c>
      <c r="W10" t="s">
        <v>71</v>
      </c>
      <c r="X10" t="e">
        <v>#DIV/0!</v>
      </c>
      <c r="Y10" t="s">
        <v>71</v>
      </c>
      <c r="Z10" t="e">
        <v>#DIV/0!</v>
      </c>
      <c r="AA10" t="s">
        <v>71</v>
      </c>
      <c r="AB10" t="e">
        <v>#DIV/0!</v>
      </c>
    </row>
    <row r="11" spans="1:28" x14ac:dyDescent="0.25">
      <c r="A11" t="s">
        <v>72</v>
      </c>
      <c r="B11">
        <v>0</v>
      </c>
      <c r="C11" t="s">
        <v>72</v>
      </c>
      <c r="D11">
        <v>0</v>
      </c>
      <c r="E11" t="s">
        <v>72</v>
      </c>
      <c r="F11">
        <v>0</v>
      </c>
      <c r="G11" t="s">
        <v>72</v>
      </c>
      <c r="H11">
        <v>0</v>
      </c>
      <c r="I11" t="s">
        <v>72</v>
      </c>
      <c r="J11">
        <v>0</v>
      </c>
      <c r="K11" t="s">
        <v>72</v>
      </c>
      <c r="L11">
        <v>0</v>
      </c>
      <c r="M11" t="s">
        <v>72</v>
      </c>
      <c r="N11">
        <v>0</v>
      </c>
      <c r="O11" t="s">
        <v>72</v>
      </c>
      <c r="P11">
        <v>0</v>
      </c>
      <c r="Q11" t="s">
        <v>72</v>
      </c>
      <c r="R11">
        <v>0</v>
      </c>
      <c r="S11" t="s">
        <v>72</v>
      </c>
      <c r="T11">
        <v>0</v>
      </c>
      <c r="U11" t="s">
        <v>72</v>
      </c>
      <c r="V11">
        <v>0</v>
      </c>
      <c r="W11" t="s">
        <v>72</v>
      </c>
      <c r="X11">
        <v>0</v>
      </c>
      <c r="Y11" t="s">
        <v>72</v>
      </c>
      <c r="Z11">
        <v>0</v>
      </c>
      <c r="AA11" t="s">
        <v>72</v>
      </c>
      <c r="AB11">
        <v>0</v>
      </c>
    </row>
    <row r="12" spans="1:28" x14ac:dyDescent="0.25">
      <c r="A12" t="s">
        <v>73</v>
      </c>
      <c r="B12">
        <v>1562</v>
      </c>
      <c r="C12" t="s">
        <v>73</v>
      </c>
      <c r="D12">
        <v>1582</v>
      </c>
      <c r="E12" t="s">
        <v>73</v>
      </c>
      <c r="F12">
        <v>2587</v>
      </c>
      <c r="G12" t="s">
        <v>73</v>
      </c>
      <c r="H12">
        <v>3549</v>
      </c>
      <c r="I12" t="s">
        <v>73</v>
      </c>
      <c r="J12">
        <v>2468</v>
      </c>
      <c r="K12" t="s">
        <v>73</v>
      </c>
      <c r="L12">
        <v>2554</v>
      </c>
      <c r="M12" t="s">
        <v>73</v>
      </c>
      <c r="N12">
        <v>3598</v>
      </c>
      <c r="O12" t="s">
        <v>73</v>
      </c>
      <c r="P12">
        <v>2456</v>
      </c>
      <c r="Q12" t="s">
        <v>73</v>
      </c>
      <c r="R12">
        <v>6548</v>
      </c>
      <c r="S12" t="s">
        <v>73</v>
      </c>
      <c r="T12">
        <v>5486</v>
      </c>
      <c r="U12" t="s">
        <v>73</v>
      </c>
      <c r="V12">
        <v>1258</v>
      </c>
      <c r="W12" t="s">
        <v>73</v>
      </c>
      <c r="X12">
        <v>2579</v>
      </c>
      <c r="Y12" t="s">
        <v>73</v>
      </c>
      <c r="Z12">
        <v>3256</v>
      </c>
      <c r="AA12" t="s">
        <v>73</v>
      </c>
      <c r="AB12">
        <v>2587</v>
      </c>
    </row>
    <row r="13" spans="1:28" x14ac:dyDescent="0.25">
      <c r="A13" t="s">
        <v>74</v>
      </c>
      <c r="B13">
        <v>1562</v>
      </c>
      <c r="C13" t="s">
        <v>74</v>
      </c>
      <c r="D13">
        <v>1582</v>
      </c>
      <c r="E13" t="s">
        <v>74</v>
      </c>
      <c r="F13">
        <v>2587</v>
      </c>
      <c r="G13" t="s">
        <v>74</v>
      </c>
      <c r="H13">
        <v>3549</v>
      </c>
      <c r="I13" t="s">
        <v>74</v>
      </c>
      <c r="J13">
        <v>2468</v>
      </c>
      <c r="K13" t="s">
        <v>74</v>
      </c>
      <c r="L13">
        <v>2554</v>
      </c>
      <c r="M13" t="s">
        <v>74</v>
      </c>
      <c r="N13">
        <v>3598</v>
      </c>
      <c r="O13" t="s">
        <v>74</v>
      </c>
      <c r="P13">
        <v>2456</v>
      </c>
      <c r="Q13" t="s">
        <v>74</v>
      </c>
      <c r="R13">
        <v>6548</v>
      </c>
      <c r="S13" t="s">
        <v>74</v>
      </c>
      <c r="T13">
        <v>5486</v>
      </c>
      <c r="U13" t="s">
        <v>74</v>
      </c>
      <c r="V13">
        <v>1258</v>
      </c>
      <c r="W13" t="s">
        <v>74</v>
      </c>
      <c r="X13">
        <v>2579</v>
      </c>
      <c r="Y13" t="s">
        <v>74</v>
      </c>
      <c r="Z13">
        <v>3256</v>
      </c>
      <c r="AA13" t="s">
        <v>74</v>
      </c>
      <c r="AB13">
        <v>2587</v>
      </c>
    </row>
    <row r="14" spans="1:28" x14ac:dyDescent="0.25">
      <c r="A14" t="s">
        <v>75</v>
      </c>
      <c r="B14">
        <v>1562</v>
      </c>
      <c r="C14" t="s">
        <v>75</v>
      </c>
      <c r="D14">
        <v>1582</v>
      </c>
      <c r="E14" t="s">
        <v>75</v>
      </c>
      <c r="F14">
        <v>2587</v>
      </c>
      <c r="G14" t="s">
        <v>75</v>
      </c>
      <c r="H14">
        <v>3549</v>
      </c>
      <c r="I14" t="s">
        <v>75</v>
      </c>
      <c r="J14">
        <v>2468</v>
      </c>
      <c r="K14" t="s">
        <v>75</v>
      </c>
      <c r="L14">
        <v>2554</v>
      </c>
      <c r="M14" t="s">
        <v>75</v>
      </c>
      <c r="N14">
        <v>3598</v>
      </c>
      <c r="O14" t="s">
        <v>75</v>
      </c>
      <c r="P14">
        <v>2456</v>
      </c>
      <c r="Q14" t="s">
        <v>75</v>
      </c>
      <c r="R14">
        <v>6548</v>
      </c>
      <c r="S14" t="s">
        <v>75</v>
      </c>
      <c r="T14">
        <v>5486</v>
      </c>
      <c r="U14" t="s">
        <v>75</v>
      </c>
      <c r="V14">
        <v>1258</v>
      </c>
      <c r="W14" t="s">
        <v>75</v>
      </c>
      <c r="X14">
        <v>2579</v>
      </c>
      <c r="Y14" t="s">
        <v>75</v>
      </c>
      <c r="Z14">
        <v>3256</v>
      </c>
      <c r="AA14" t="s">
        <v>75</v>
      </c>
      <c r="AB14">
        <v>2587</v>
      </c>
    </row>
    <row r="15" spans="1:28" x14ac:dyDescent="0.25">
      <c r="A15" t="s">
        <v>76</v>
      </c>
      <c r="B15">
        <v>1</v>
      </c>
      <c r="C15" t="s">
        <v>76</v>
      </c>
      <c r="D15">
        <v>1</v>
      </c>
      <c r="E15" t="s">
        <v>76</v>
      </c>
      <c r="F15">
        <v>1</v>
      </c>
      <c r="G15" t="s">
        <v>76</v>
      </c>
      <c r="H15">
        <v>1</v>
      </c>
      <c r="I15" t="s">
        <v>76</v>
      </c>
      <c r="J15">
        <v>1</v>
      </c>
      <c r="K15" t="s">
        <v>76</v>
      </c>
      <c r="L15">
        <v>1</v>
      </c>
      <c r="M15" t="s">
        <v>76</v>
      </c>
      <c r="N15">
        <v>1</v>
      </c>
      <c r="O15" t="s">
        <v>76</v>
      </c>
      <c r="P15">
        <v>1</v>
      </c>
      <c r="Q15" t="s">
        <v>76</v>
      </c>
      <c r="R15">
        <v>1</v>
      </c>
      <c r="S15" t="s">
        <v>76</v>
      </c>
      <c r="T15">
        <v>1</v>
      </c>
      <c r="U15" t="s">
        <v>76</v>
      </c>
      <c r="V15">
        <v>1</v>
      </c>
      <c r="W15" t="s">
        <v>76</v>
      </c>
      <c r="X15">
        <v>1</v>
      </c>
      <c r="Y15" t="s">
        <v>76</v>
      </c>
      <c r="Z15">
        <v>1</v>
      </c>
      <c r="AA15" t="s">
        <v>76</v>
      </c>
      <c r="AB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B764-4CBB-4F55-8CC5-251892C86008}">
  <dimension ref="A1:C10"/>
  <sheetViews>
    <sheetView workbookViewId="0">
      <selection activeCell="C15" sqref="C15"/>
    </sheetView>
  </sheetViews>
  <sheetFormatPr defaultRowHeight="15" x14ac:dyDescent="0.25"/>
  <sheetData>
    <row r="1" spans="1:3" x14ac:dyDescent="0.25">
      <c r="A1" t="s">
        <v>77</v>
      </c>
    </row>
    <row r="2" spans="1:3" ht="15.75" thickBot="1" x14ac:dyDescent="0.3"/>
    <row r="3" spans="1:3" x14ac:dyDescent="0.25">
      <c r="A3" s="7"/>
      <c r="B3" s="7" t="s">
        <v>78</v>
      </c>
      <c r="C3" s="7" t="s">
        <v>79</v>
      </c>
    </row>
    <row r="4" spans="1:3" x14ac:dyDescent="0.25">
      <c r="A4" t="s">
        <v>64</v>
      </c>
      <c r="B4">
        <v>3005</v>
      </c>
      <c r="C4">
        <v>37.571428571428569</v>
      </c>
    </row>
    <row r="5" spans="1:3" x14ac:dyDescent="0.25">
      <c r="A5" t="s">
        <v>80</v>
      </c>
      <c r="B5">
        <v>2146313.6923076925</v>
      </c>
      <c r="C5">
        <v>135.18681318681325</v>
      </c>
    </row>
    <row r="6" spans="1:3" x14ac:dyDescent="0.25">
      <c r="A6" t="s">
        <v>81</v>
      </c>
      <c r="B6">
        <v>14</v>
      </c>
      <c r="C6">
        <v>14</v>
      </c>
    </row>
    <row r="7" spans="1:3" x14ac:dyDescent="0.25">
      <c r="A7" t="s">
        <v>82</v>
      </c>
      <c r="B7">
        <v>13</v>
      </c>
      <c r="C7">
        <v>13</v>
      </c>
    </row>
    <row r="8" spans="1:3" x14ac:dyDescent="0.25">
      <c r="A8" t="s">
        <v>83</v>
      </c>
      <c r="B8">
        <v>15876.649813038524</v>
      </c>
    </row>
    <row r="9" spans="1:3" x14ac:dyDescent="0.25">
      <c r="A9" t="s">
        <v>84</v>
      </c>
      <c r="B9">
        <v>4.4029513493883918E-25</v>
      </c>
    </row>
    <row r="10" spans="1:3" ht="15.75" thickBot="1" x14ac:dyDescent="0.3">
      <c r="A10" s="6" t="s">
        <v>85</v>
      </c>
      <c r="B10" s="6">
        <v>2.5769270844729792</v>
      </c>
      <c r="C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260D-2E21-4DB6-AA75-6995E0BFAD32}">
  <dimension ref="A1:I35"/>
  <sheetViews>
    <sheetView workbookViewId="0">
      <selection activeCell="I29" sqref="I29"/>
    </sheetView>
  </sheetViews>
  <sheetFormatPr defaultRowHeight="15" x14ac:dyDescent="0.25"/>
  <sheetData>
    <row r="1" spans="1:9" x14ac:dyDescent="0.25">
      <c r="A1" t="s">
        <v>86</v>
      </c>
    </row>
    <row r="2" spans="1:9" ht="15.75" thickBot="1" x14ac:dyDescent="0.3"/>
    <row r="3" spans="1:9" x14ac:dyDescent="0.25">
      <c r="A3" s="8" t="s">
        <v>87</v>
      </c>
      <c r="B3" s="8"/>
    </row>
    <row r="4" spans="1:9" x14ac:dyDescent="0.25">
      <c r="A4" t="s">
        <v>88</v>
      </c>
      <c r="B4">
        <v>7.3616611441818358E-2</v>
      </c>
    </row>
    <row r="5" spans="1:9" x14ac:dyDescent="0.25">
      <c r="A5" t="s">
        <v>89</v>
      </c>
      <c r="B5">
        <v>5.4194054801756618E-3</v>
      </c>
    </row>
    <row r="6" spans="1:9" x14ac:dyDescent="0.25">
      <c r="A6" t="s">
        <v>90</v>
      </c>
      <c r="B6">
        <v>-0.10508954946647148</v>
      </c>
    </row>
    <row r="7" spans="1:9" x14ac:dyDescent="0.25">
      <c r="A7" t="s">
        <v>65</v>
      </c>
      <c r="B7">
        <v>1581.7380990990305</v>
      </c>
    </row>
    <row r="8" spans="1:9" ht="15.75" thickBot="1" x14ac:dyDescent="0.3">
      <c r="A8" s="6" t="s">
        <v>81</v>
      </c>
      <c r="B8" s="6">
        <v>11</v>
      </c>
    </row>
    <row r="10" spans="1:9" ht="15.75" thickBot="1" x14ac:dyDescent="0.3">
      <c r="A10" t="s">
        <v>91</v>
      </c>
    </row>
    <row r="11" spans="1:9" x14ac:dyDescent="0.25">
      <c r="A11" s="7"/>
      <c r="B11" s="7" t="s">
        <v>82</v>
      </c>
      <c r="C11" s="7" t="s">
        <v>96</v>
      </c>
      <c r="D11" s="7" t="s">
        <v>97</v>
      </c>
      <c r="E11" s="7" t="s">
        <v>83</v>
      </c>
      <c r="F11" s="7" t="s">
        <v>98</v>
      </c>
    </row>
    <row r="12" spans="1:9" x14ac:dyDescent="0.25">
      <c r="A12" t="s">
        <v>92</v>
      </c>
      <c r="B12">
        <v>1</v>
      </c>
      <c r="C12">
        <v>122694.00000000373</v>
      </c>
      <c r="D12">
        <v>122694.00000000373</v>
      </c>
      <c r="E12">
        <v>4.9040419238351389E-2</v>
      </c>
      <c r="F12">
        <v>0.82968438136401379</v>
      </c>
    </row>
    <row r="13" spans="1:9" x14ac:dyDescent="0.25">
      <c r="A13" t="s">
        <v>93</v>
      </c>
      <c r="B13">
        <v>9</v>
      </c>
      <c r="C13">
        <v>22517058.727272727</v>
      </c>
      <c r="D13">
        <v>2501895.4141414142</v>
      </c>
    </row>
    <row r="14" spans="1:9" ht="15.75" thickBot="1" x14ac:dyDescent="0.3">
      <c r="A14" s="6" t="s">
        <v>94</v>
      </c>
      <c r="B14" s="6">
        <v>10</v>
      </c>
      <c r="C14" s="6">
        <v>22639752.72727273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99</v>
      </c>
      <c r="C16" s="7" t="s">
        <v>65</v>
      </c>
      <c r="D16" s="7" t="s">
        <v>100</v>
      </c>
      <c r="E16" s="7" t="s">
        <v>101</v>
      </c>
      <c r="F16" s="7" t="s">
        <v>102</v>
      </c>
      <c r="G16" s="7" t="s">
        <v>103</v>
      </c>
      <c r="H16" s="7" t="s">
        <v>104</v>
      </c>
      <c r="I16" s="7" t="s">
        <v>105</v>
      </c>
    </row>
    <row r="17" spans="1:9" x14ac:dyDescent="0.25">
      <c r="A17" t="s">
        <v>95</v>
      </c>
      <c r="B17">
        <v>2925.6168831168829</v>
      </c>
      <c r="C17">
        <v>1771.9877636579881</v>
      </c>
      <c r="D17">
        <v>1.6510367301168096</v>
      </c>
      <c r="E17">
        <v>0.13312650526334385</v>
      </c>
      <c r="F17">
        <v>-1082.8979288328082</v>
      </c>
      <c r="G17">
        <v>6934.1316950665741</v>
      </c>
      <c r="H17">
        <v>-1082.8979288328082</v>
      </c>
      <c r="I17">
        <v>6934.1316950665741</v>
      </c>
    </row>
    <row r="18" spans="1:9" ht="15.75" thickBot="1" x14ac:dyDescent="0.3">
      <c r="A18" s="6">
        <v>58</v>
      </c>
      <c r="B18" s="6">
        <v>10.214285714285717</v>
      </c>
      <c r="C18" s="6">
        <v>46.124419637052824</v>
      </c>
      <c r="D18" s="6">
        <v>0.2214507151452664</v>
      </c>
      <c r="E18" s="6">
        <v>0.82968438136401623</v>
      </c>
      <c r="F18" s="6">
        <v>-94.126400547583529</v>
      </c>
      <c r="G18" s="6">
        <v>114.55497197615497</v>
      </c>
      <c r="H18" s="6">
        <v>-94.126400547583529</v>
      </c>
      <c r="I18" s="6">
        <v>114.55497197615497</v>
      </c>
    </row>
    <row r="22" spans="1:9" x14ac:dyDescent="0.25">
      <c r="A22" t="s">
        <v>106</v>
      </c>
    </row>
    <row r="23" spans="1:9" ht="15.75" thickBot="1" x14ac:dyDescent="0.3"/>
    <row r="24" spans="1:9" x14ac:dyDescent="0.25">
      <c r="A24" s="7" t="s">
        <v>107</v>
      </c>
      <c r="B24" s="7" t="s">
        <v>108</v>
      </c>
      <c r="C24" s="7" t="s">
        <v>109</v>
      </c>
    </row>
    <row r="25" spans="1:9" x14ac:dyDescent="0.25">
      <c r="A25">
        <v>1</v>
      </c>
      <c r="B25">
        <v>3170.7597402597403</v>
      </c>
      <c r="C25">
        <v>378.24025974025972</v>
      </c>
    </row>
    <row r="26" spans="1:9" x14ac:dyDescent="0.25">
      <c r="A26">
        <v>2</v>
      </c>
      <c r="B26">
        <v>3497.6168831168829</v>
      </c>
      <c r="C26">
        <v>-1029.6168831168829</v>
      </c>
    </row>
    <row r="27" spans="1:9" x14ac:dyDescent="0.25">
      <c r="A27">
        <v>3</v>
      </c>
      <c r="B27">
        <v>3201.4025974025972</v>
      </c>
      <c r="C27">
        <v>-647.40259740259717</v>
      </c>
    </row>
    <row r="28" spans="1:9" x14ac:dyDescent="0.25">
      <c r="A28">
        <v>4</v>
      </c>
      <c r="B28">
        <v>3334.1883116883118</v>
      </c>
      <c r="C28">
        <v>263.81168831168816</v>
      </c>
    </row>
    <row r="29" spans="1:9" x14ac:dyDescent="0.25">
      <c r="A29">
        <v>5</v>
      </c>
      <c r="B29">
        <v>3211.6168831168829</v>
      </c>
      <c r="C29">
        <v>-755.61688311688295</v>
      </c>
    </row>
    <row r="30" spans="1:9" x14ac:dyDescent="0.25">
      <c r="A30">
        <v>6</v>
      </c>
      <c r="B30">
        <v>3323.9740259740261</v>
      </c>
      <c r="C30">
        <v>3224.0259740259739</v>
      </c>
    </row>
    <row r="31" spans="1:9" x14ac:dyDescent="0.25">
      <c r="A31">
        <v>7</v>
      </c>
      <c r="B31">
        <v>3313.7597402597403</v>
      </c>
      <c r="C31">
        <v>2172.2402597402597</v>
      </c>
    </row>
    <row r="32" spans="1:9" x14ac:dyDescent="0.25">
      <c r="A32">
        <v>8</v>
      </c>
      <c r="B32">
        <v>3252.4740259740261</v>
      </c>
      <c r="C32">
        <v>-1994.4740259740261</v>
      </c>
    </row>
    <row r="33" spans="1:3" x14ac:dyDescent="0.25">
      <c r="A33">
        <v>9</v>
      </c>
      <c r="B33">
        <v>3191.1883116883118</v>
      </c>
      <c r="C33">
        <v>-612.18831168831184</v>
      </c>
    </row>
    <row r="34" spans="1:3" x14ac:dyDescent="0.25">
      <c r="A34">
        <v>10</v>
      </c>
      <c r="B34">
        <v>3375.0454545454545</v>
      </c>
      <c r="C34">
        <v>-119.0454545454545</v>
      </c>
    </row>
    <row r="35" spans="1:3" ht="15.75" thickBot="1" x14ac:dyDescent="0.3">
      <c r="A35" s="6">
        <v>11</v>
      </c>
      <c r="B35" s="6">
        <v>3466.9740259740261</v>
      </c>
      <c r="C35" s="6">
        <v>-879.97402597402606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2026-05-26T08:59:01Z</dcterms:created>
  <dcterms:modified xsi:type="dcterms:W3CDTF">2026-05-26T10:18:13Z</dcterms:modified>
</cp:coreProperties>
</file>