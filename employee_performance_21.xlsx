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20a21a007a6021/Desktop/"/>
    </mc:Choice>
  </mc:AlternateContent>
  <xr:revisionPtr revIDLastSave="101" documentId="11_AB58B9E7547EBACEEB3B98154B26C63959BFF393" xr6:coauthVersionLast="47" xr6:coauthVersionMax="47" xr10:uidLastSave="{C23B611A-DEF9-42AC-B029-E91B0E495E13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</calcChain>
</file>

<file path=xl/sharedStrings.xml><?xml version="1.0" encoding="utf-8"?>
<sst xmlns="http://schemas.openxmlformats.org/spreadsheetml/2006/main" count="55" uniqueCount="53">
  <si>
    <t>Tasks</t>
  </si>
  <si>
    <t>Hours</t>
  </si>
  <si>
    <t>Projects</t>
  </si>
  <si>
    <t>Training</t>
  </si>
  <si>
    <t>Score</t>
  </si>
  <si>
    <t>MEAN</t>
  </si>
  <si>
    <t>MEDIAN</t>
  </si>
  <si>
    <t>MODE</t>
  </si>
  <si>
    <t>VARIANCE</t>
  </si>
  <si>
    <t>SD</t>
  </si>
  <si>
    <t>CORRELATION</t>
  </si>
  <si>
    <t>RANGE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</si>
  <si>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</si>
  <si>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</si>
  <si>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</si>
  <si>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</si>
  <si>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</si>
  <si>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</si>
  <si>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</si>
  <si>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</si>
  <si>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</si>
  <si>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</si>
  <si>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</si>
  <si>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</si>
  <si>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</si>
  <si>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</si>
  <si>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</si>
  <si>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</si>
  <si>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</si>
  <si>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</si>
  <si>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</si>
  <si>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</si>
  <si>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</si>
  <si>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</si>
  <si>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</si>
  <si>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</si>
  <si>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</si>
  <si>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</si>
  <si>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</si>
  <si>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</si>
  <si>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</si>
  <si>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</si>
  <si>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</si>
  <si>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</si>
  <si>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</si>
  <si>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</si>
  <si>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</si>
  <si>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</si>
  <si>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</si>
  <si>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</si>
  <si>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</si>
  <si>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10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</si>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</sst>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Sheet!$B$3:$B$21</c:f>
              <c:numCache>
                <c:formatCode>General</c:formatCode>
                <c:ptCount val="19"/>
                <c:pt idx="0">
                  <c:v>35</c:v>
                </c:pt>
                <c:pt idx="1">
                  <c:v>84</c:v>
                </c:pt>
                <c:pt idx="2">
                  <c:v>87</c:v>
                </c:pt>
                <c:pt idx="3">
                  <c:v>50</c:v>
                </c:pt>
                <c:pt idx="4">
                  <c:v>83</c:v>
                </c:pt>
                <c:pt idx="5">
                  <c:v>86</c:v>
                </c:pt>
                <c:pt idx="6">
                  <c:v>38</c:v>
                </c:pt>
                <c:pt idx="7">
                  <c:v>57</c:v>
                </c:pt>
                <c:pt idx="8">
                  <c:v>26</c:v>
                </c:pt>
                <c:pt idx="9">
                  <c:v>100</c:v>
                </c:pt>
                <c:pt idx="10">
                  <c:v>64</c:v>
                </c:pt>
                <c:pt idx="11">
                  <c:v>75</c:v>
                </c:pt>
                <c:pt idx="12">
                  <c:v>81</c:v>
                </c:pt>
                <c:pt idx="13">
                  <c:v>80</c:v>
                </c:pt>
                <c:pt idx="14">
                  <c:v>41</c:v>
                </c:pt>
                <c:pt idx="15">
                  <c:v>36</c:v>
                </c:pt>
                <c:pt idx="16">
                  <c:v>53</c:v>
                </c:pt>
                <c:pt idx="17">
                  <c:v>33</c:v>
                </c:pt>
                <c:pt idx="18">
                  <c:v>85</c:v>
                </c:pt>
              </c:numCache>
            </c:numRef>
          </c:xVal>
          <c:yVal>
            <c:numRef>
              <c:f>Sheet2!$C$25:$C$43</c:f>
              <c:numCache>
                <c:formatCode>General</c:formatCode>
                <c:ptCount val="19"/>
                <c:pt idx="0">
                  <c:v>42.285178469276516</c:v>
                </c:pt>
                <c:pt idx="1">
                  <c:v>-38.252630897257397</c:v>
                </c:pt>
                <c:pt idx="2">
                  <c:v>40.898115468056851</c:v>
                </c:pt>
                <c:pt idx="3">
                  <c:v>27.038910295847771</c:v>
                </c:pt>
                <c:pt idx="4">
                  <c:v>-29.302879685695487</c:v>
                </c:pt>
                <c:pt idx="5">
                  <c:v>-4.1521333203812318</c:v>
                </c:pt>
                <c:pt idx="6">
                  <c:v>6.4359248345907645</c:v>
                </c:pt>
                <c:pt idx="7">
                  <c:v>11.390651814914349</c:v>
                </c:pt>
                <c:pt idx="8">
                  <c:v>13.832939373333765</c:v>
                </c:pt>
                <c:pt idx="9">
                  <c:v>-19.448650282248067</c:v>
                </c:pt>
                <c:pt idx="10">
                  <c:v>43.742393333980935</c:v>
                </c:pt>
                <c:pt idx="11">
                  <c:v>-23.704869993200148</c:v>
                </c:pt>
                <c:pt idx="12">
                  <c:v>28.596622737428348</c:v>
                </c:pt>
                <c:pt idx="13">
                  <c:v>16.546373948990265</c:v>
                </c:pt>
                <c:pt idx="14">
                  <c:v>-28.41332880009498</c:v>
                </c:pt>
                <c:pt idx="15">
                  <c:v>-39.664572742285401</c:v>
                </c:pt>
                <c:pt idx="16">
                  <c:v>-21.810343338837981</c:v>
                </c:pt>
                <c:pt idx="17">
                  <c:v>-30.815319107599649</c:v>
                </c:pt>
                <c:pt idx="18">
                  <c:v>4.7976178911806855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C2-4C30-B35D-39292E84B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797135"/>
        <c:axId val="305797615"/>
      </c:scatterChart>
      <c:valAx>
        <c:axId val="3057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797615"/>
        <c:crosses val="autoZero"/>
        <c:crossBetween val="midCat"/>
      </c:valAx>
      <c:valAx>
        <c:axId val="305797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7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Sheet!$B$3:$B$21</c:f>
              <c:numCache>
                <c:formatCode>General</c:formatCode>
                <c:ptCount val="19"/>
                <c:pt idx="0">
                  <c:v>35</c:v>
                </c:pt>
                <c:pt idx="1">
                  <c:v>84</c:v>
                </c:pt>
                <c:pt idx="2">
                  <c:v>87</c:v>
                </c:pt>
                <c:pt idx="3">
                  <c:v>50</c:v>
                </c:pt>
                <c:pt idx="4">
                  <c:v>83</c:v>
                </c:pt>
                <c:pt idx="5">
                  <c:v>86</c:v>
                </c:pt>
                <c:pt idx="6">
                  <c:v>38</c:v>
                </c:pt>
                <c:pt idx="7">
                  <c:v>57</c:v>
                </c:pt>
                <c:pt idx="8">
                  <c:v>26</c:v>
                </c:pt>
                <c:pt idx="9">
                  <c:v>100</c:v>
                </c:pt>
                <c:pt idx="10">
                  <c:v>64</c:v>
                </c:pt>
                <c:pt idx="11">
                  <c:v>75</c:v>
                </c:pt>
                <c:pt idx="12">
                  <c:v>81</c:v>
                </c:pt>
                <c:pt idx="13">
                  <c:v>80</c:v>
                </c:pt>
                <c:pt idx="14">
                  <c:v>41</c:v>
                </c:pt>
                <c:pt idx="15">
                  <c:v>36</c:v>
                </c:pt>
                <c:pt idx="16">
                  <c:v>53</c:v>
                </c:pt>
                <c:pt idx="17">
                  <c:v>33</c:v>
                </c:pt>
                <c:pt idx="18">
                  <c:v>85</c:v>
                </c:pt>
              </c:numCache>
            </c:numRef>
          </c:xVal>
          <c:yVal>
            <c:numRef>
              <c:f>Sheet!$E$3:$E$21</c:f>
              <c:numCache>
                <c:formatCode>General</c:formatCode>
                <c:ptCount val="19"/>
                <c:pt idx="0">
                  <c:v>96</c:v>
                </c:pt>
                <c:pt idx="1">
                  <c:v>13</c:v>
                </c:pt>
                <c:pt idx="2">
                  <c:v>92</c:v>
                </c:pt>
                <c:pt idx="3">
                  <c:v>80</c:v>
                </c:pt>
                <c:pt idx="4">
                  <c:v>22</c:v>
                </c:pt>
                <c:pt idx="5">
                  <c:v>47</c:v>
                </c:pt>
                <c:pt idx="6">
                  <c:v>60</c:v>
                </c:pt>
                <c:pt idx="7">
                  <c:v>64</c:v>
                </c:pt>
                <c:pt idx="8">
                  <c:v>68</c:v>
                </c:pt>
                <c:pt idx="9">
                  <c:v>31</c:v>
                </c:pt>
                <c:pt idx="10">
                  <c:v>96</c:v>
                </c:pt>
                <c:pt idx="11">
                  <c:v>28</c:v>
                </c:pt>
                <c:pt idx="12">
                  <c:v>80</c:v>
                </c:pt>
                <c:pt idx="13">
                  <c:v>68</c:v>
                </c:pt>
                <c:pt idx="14">
                  <c:v>25</c:v>
                </c:pt>
                <c:pt idx="15">
                  <c:v>14</c:v>
                </c:pt>
                <c:pt idx="16">
                  <c:v>31</c:v>
                </c:pt>
                <c:pt idx="17">
                  <c:v>23</c:v>
                </c:pt>
                <c:pt idx="18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E9-408A-892D-20F4ECA13842}"/>
            </c:ext>
          </c:extLst>
        </c:ser>
        <c:ser>
          <c:idx val="1"/>
          <c:order val="1"/>
          <c:tx>
            <c:v>Predicted 10</c:v>
          </c:tx>
          <c:spPr>
            <a:ln w="28575">
              <a:noFill/>
            </a:ln>
          </c:spPr>
          <c:xVal>
            <c:numRef>
              <c:f>Sheet!$B$3:$B$21</c:f>
              <c:numCache>
                <c:formatCode>General</c:formatCode>
                <c:ptCount val="19"/>
                <c:pt idx="0">
                  <c:v>35</c:v>
                </c:pt>
                <c:pt idx="1">
                  <c:v>84</c:v>
                </c:pt>
                <c:pt idx="2">
                  <c:v>87</c:v>
                </c:pt>
                <c:pt idx="3">
                  <c:v>50</c:v>
                </c:pt>
                <c:pt idx="4">
                  <c:v>83</c:v>
                </c:pt>
                <c:pt idx="5">
                  <c:v>86</c:v>
                </c:pt>
                <c:pt idx="6">
                  <c:v>38</c:v>
                </c:pt>
                <c:pt idx="7">
                  <c:v>57</c:v>
                </c:pt>
                <c:pt idx="8">
                  <c:v>26</c:v>
                </c:pt>
                <c:pt idx="9">
                  <c:v>100</c:v>
                </c:pt>
                <c:pt idx="10">
                  <c:v>64</c:v>
                </c:pt>
                <c:pt idx="11">
                  <c:v>75</c:v>
                </c:pt>
                <c:pt idx="12">
                  <c:v>81</c:v>
                </c:pt>
                <c:pt idx="13">
                  <c:v>80</c:v>
                </c:pt>
                <c:pt idx="14">
                  <c:v>41</c:v>
                </c:pt>
                <c:pt idx="15">
                  <c:v>36</c:v>
                </c:pt>
                <c:pt idx="16">
                  <c:v>53</c:v>
                </c:pt>
                <c:pt idx="17">
                  <c:v>33</c:v>
                </c:pt>
                <c:pt idx="18">
                  <c:v>85</c:v>
                </c:pt>
              </c:numCache>
            </c:numRef>
          </c:xVal>
          <c:yVal>
            <c:numRef>
              <c:f>Sheet2!$B$25:$B$43</c:f>
              <c:numCache>
                <c:formatCode>General</c:formatCode>
                <c:ptCount val="19"/>
                <c:pt idx="0">
                  <c:v>53.714821530723484</c:v>
                </c:pt>
                <c:pt idx="1">
                  <c:v>51.252630897257397</c:v>
                </c:pt>
                <c:pt idx="2">
                  <c:v>51.101884531943149</c:v>
                </c:pt>
                <c:pt idx="3">
                  <c:v>52.961089704152229</c:v>
                </c:pt>
                <c:pt idx="4">
                  <c:v>51.302879685695487</c:v>
                </c:pt>
                <c:pt idx="5">
                  <c:v>51.152133320381232</c:v>
                </c:pt>
                <c:pt idx="6">
                  <c:v>53.564075165409236</c:v>
                </c:pt>
                <c:pt idx="7">
                  <c:v>52.609348185085651</c:v>
                </c:pt>
                <c:pt idx="8">
                  <c:v>54.167060626666235</c:v>
                </c:pt>
                <c:pt idx="9">
                  <c:v>50.448650282248067</c:v>
                </c:pt>
                <c:pt idx="10">
                  <c:v>52.257606666019065</c:v>
                </c:pt>
                <c:pt idx="11">
                  <c:v>51.704869993200148</c:v>
                </c:pt>
                <c:pt idx="12">
                  <c:v>51.403377262571652</c:v>
                </c:pt>
                <c:pt idx="13">
                  <c:v>51.453626051009735</c:v>
                </c:pt>
                <c:pt idx="14">
                  <c:v>53.41332880009498</c:v>
                </c:pt>
                <c:pt idx="15">
                  <c:v>53.664572742285401</c:v>
                </c:pt>
                <c:pt idx="16">
                  <c:v>52.810343338837981</c:v>
                </c:pt>
                <c:pt idx="17">
                  <c:v>53.815319107599649</c:v>
                </c:pt>
                <c:pt idx="18">
                  <c:v>51.202382108819315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E9-408A-892D-20F4ECA13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207439"/>
        <c:axId val="1992207919"/>
      </c:scatterChart>
      <c:valAx>
        <c:axId val="199220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2207919"/>
        <c:crosses val="autoZero"/>
        <c:crossBetween val="midCat"/>
      </c:valAx>
      <c:valAx>
        <c:axId val="1992207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22074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Sheet!$E$2:$E$21</c:f>
              <c:numCache>
                <c:formatCode>General</c:formatCode>
                <c:ptCount val="20"/>
                <c:pt idx="0">
                  <c:v>10</c:v>
                </c:pt>
                <c:pt idx="1">
                  <c:v>96</c:v>
                </c:pt>
                <c:pt idx="2">
                  <c:v>13</c:v>
                </c:pt>
                <c:pt idx="3">
                  <c:v>92</c:v>
                </c:pt>
                <c:pt idx="4">
                  <c:v>80</c:v>
                </c:pt>
                <c:pt idx="5">
                  <c:v>22</c:v>
                </c:pt>
                <c:pt idx="6">
                  <c:v>47</c:v>
                </c:pt>
                <c:pt idx="7">
                  <c:v>60</c:v>
                </c:pt>
                <c:pt idx="8">
                  <c:v>64</c:v>
                </c:pt>
                <c:pt idx="9">
                  <c:v>68</c:v>
                </c:pt>
                <c:pt idx="10">
                  <c:v>31</c:v>
                </c:pt>
                <c:pt idx="11">
                  <c:v>96</c:v>
                </c:pt>
                <c:pt idx="12">
                  <c:v>28</c:v>
                </c:pt>
                <c:pt idx="13">
                  <c:v>80</c:v>
                </c:pt>
                <c:pt idx="14">
                  <c:v>68</c:v>
                </c:pt>
                <c:pt idx="15">
                  <c:v>25</c:v>
                </c:pt>
                <c:pt idx="16">
                  <c:v>14</c:v>
                </c:pt>
                <c:pt idx="17">
                  <c:v>31</c:v>
                </c:pt>
                <c:pt idx="18">
                  <c:v>23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F-46F0-8A18-53F0BF5B2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4152223"/>
        <c:axId val="1984150783"/>
        <c:axId val="0"/>
      </c:bar3DChart>
      <c:catAx>
        <c:axId val="19841522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50783"/>
        <c:crosses val="autoZero"/>
        <c:auto val="1"/>
        <c:lblAlgn val="ctr"/>
        <c:lblOffset val="100"/>
        <c:noMultiLvlLbl val="0"/>
      </c:catAx>
      <c:valAx>
        <c:axId val="198415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5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Sheet!$F$18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A42-460F-B3BC-36F160A3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84184863"/>
        <c:axId val="1984174303"/>
      </c:barChart>
      <c:catAx>
        <c:axId val="19841848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74303"/>
        <c:crosses val="autoZero"/>
        <c:auto val="1"/>
        <c:lblAlgn val="ctr"/>
        <c:lblOffset val="100"/>
        <c:noMultiLvlLbl val="0"/>
      </c:catAx>
      <c:valAx>
        <c:axId val="198417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848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13517060367453E-2"/>
          <c:y val="0.17634259259259263"/>
          <c:w val="0.89019685039370078"/>
          <c:h val="0.61498432487605714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Sheet!$D$2:$D$21</c:f>
              <c:numCache>
                <c:formatCode>General</c:formatCode>
                <c:ptCount val="20"/>
                <c:pt idx="0">
                  <c:v>88</c:v>
                </c:pt>
                <c:pt idx="1">
                  <c:v>66</c:v>
                </c:pt>
                <c:pt idx="2">
                  <c:v>32</c:v>
                </c:pt>
                <c:pt idx="3">
                  <c:v>37</c:v>
                </c:pt>
                <c:pt idx="4">
                  <c:v>15</c:v>
                </c:pt>
                <c:pt idx="5">
                  <c:v>93</c:v>
                </c:pt>
                <c:pt idx="6">
                  <c:v>100</c:v>
                </c:pt>
                <c:pt idx="7">
                  <c:v>37</c:v>
                </c:pt>
                <c:pt idx="8">
                  <c:v>46</c:v>
                </c:pt>
                <c:pt idx="9">
                  <c:v>10</c:v>
                </c:pt>
                <c:pt idx="10">
                  <c:v>94</c:v>
                </c:pt>
                <c:pt idx="11">
                  <c:v>95</c:v>
                </c:pt>
                <c:pt idx="12">
                  <c:v>62</c:v>
                </c:pt>
                <c:pt idx="13">
                  <c:v>77</c:v>
                </c:pt>
                <c:pt idx="14">
                  <c:v>64</c:v>
                </c:pt>
                <c:pt idx="15">
                  <c:v>32</c:v>
                </c:pt>
                <c:pt idx="16">
                  <c:v>92</c:v>
                </c:pt>
                <c:pt idx="17">
                  <c:v>41</c:v>
                </c:pt>
                <c:pt idx="18">
                  <c:v>16</c:v>
                </c:pt>
                <c:pt idx="1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C-414C-BEFF-0ADBBD78B1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Sheet!$E$2:$E$21</c:f>
              <c:numCache>
                <c:formatCode>General</c:formatCode>
                <c:ptCount val="20"/>
                <c:pt idx="0">
                  <c:v>10</c:v>
                </c:pt>
                <c:pt idx="1">
                  <c:v>96</c:v>
                </c:pt>
                <c:pt idx="2">
                  <c:v>13</c:v>
                </c:pt>
                <c:pt idx="3">
                  <c:v>92</c:v>
                </c:pt>
                <c:pt idx="4">
                  <c:v>80</c:v>
                </c:pt>
                <c:pt idx="5">
                  <c:v>22</c:v>
                </c:pt>
                <c:pt idx="6">
                  <c:v>47</c:v>
                </c:pt>
                <c:pt idx="7">
                  <c:v>60</c:v>
                </c:pt>
                <c:pt idx="8">
                  <c:v>64</c:v>
                </c:pt>
                <c:pt idx="9">
                  <c:v>68</c:v>
                </c:pt>
                <c:pt idx="10">
                  <c:v>31</c:v>
                </c:pt>
                <c:pt idx="11">
                  <c:v>96</c:v>
                </c:pt>
                <c:pt idx="12">
                  <c:v>28</c:v>
                </c:pt>
                <c:pt idx="13">
                  <c:v>80</c:v>
                </c:pt>
                <c:pt idx="14">
                  <c:v>68</c:v>
                </c:pt>
                <c:pt idx="15">
                  <c:v>25</c:v>
                </c:pt>
                <c:pt idx="16">
                  <c:v>14</c:v>
                </c:pt>
                <c:pt idx="17">
                  <c:v>31</c:v>
                </c:pt>
                <c:pt idx="18">
                  <c:v>23</c:v>
                </c:pt>
                <c:pt idx="1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C-414C-BEFF-0ADBBD78B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229983"/>
        <c:axId val="1984230463"/>
      </c:lineChart>
      <c:catAx>
        <c:axId val="1984229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30463"/>
        <c:crosses val="autoZero"/>
        <c:auto val="1"/>
        <c:lblAlgn val="ctr"/>
        <c:lblOffset val="100"/>
        <c:noMultiLvlLbl val="0"/>
      </c:catAx>
      <c:valAx>
        <c:axId val="198423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2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0FE89-BDD1-0429-638E-078A68F0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11</xdr:row>
      <xdr:rowOff>91440</xdr:rowOff>
    </xdr:from>
    <xdr:to>
      <xdr:col>15</xdr:col>
      <xdr:colOff>266700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51CCB-8986-BA72-EDBC-DE1E41DBA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28E0F-DFDE-276C-91A8-C5AF783A3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266700</xdr:colOff>
      <xdr:row>5</xdr:row>
      <xdr:rowOff>110490</xdr:rowOff>
    </xdr:from>
    <xdr:to>
      <xdr:col>22</xdr:col>
      <xdr:colOff>571500</xdr:colOff>
      <xdr:row>20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B2B4CE-E3B4-D813-1C41-32D316F95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259080</xdr:colOff>
      <xdr:row>5</xdr:row>
      <xdr:rowOff>95250</xdr:rowOff>
    </xdr:from>
    <xdr:to>
      <xdr:col>22</xdr:col>
      <xdr:colOff>563880</xdr:colOff>
      <xdr:row>20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4EAC78-2158-49A1-7C3C-FA6ACCFBE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1B4D-4A34-44FB-999D-0F89F318A194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3" t="s">
        <v>12</v>
      </c>
      <c r="B1" s="3"/>
    </row>
    <row r="3" spans="1:2" x14ac:dyDescent="0.3">
      <c r="A3" t="s">
        <v>13</v>
      </c>
      <c r="B3">
        <v>50.2</v>
      </c>
    </row>
    <row r="4" spans="1:2" x14ac:dyDescent="0.3">
      <c r="A4" t="s">
        <v>14</v>
      </c>
      <c r="B4">
        <v>6.5681047494692093</v>
      </c>
    </row>
    <row r="5" spans="1:2" x14ac:dyDescent="0.3">
      <c r="A5" t="s">
        <v>15</v>
      </c>
      <c r="B5">
        <v>51.5</v>
      </c>
    </row>
    <row r="6" spans="1:2" x14ac:dyDescent="0.3">
      <c r="A6" t="s">
        <v>16</v>
      </c>
      <c r="B6">
        <v>96</v>
      </c>
    </row>
    <row r="7" spans="1:2" x14ac:dyDescent="0.3">
      <c r="A7" t="s">
        <v>17</v>
      </c>
      <c r="B7">
        <v>29.373457406304759</v>
      </c>
    </row>
    <row r="8" spans="1:2" x14ac:dyDescent="0.3">
      <c r="A8" t="s">
        <v>18</v>
      </c>
      <c r="B8">
        <v>862.79999999999984</v>
      </c>
    </row>
    <row r="9" spans="1:2" x14ac:dyDescent="0.3">
      <c r="A9" t="s">
        <v>19</v>
      </c>
      <c r="B9">
        <v>-1.4024425112829313</v>
      </c>
    </row>
    <row r="10" spans="1:2" x14ac:dyDescent="0.3">
      <c r="A10" t="s">
        <v>20</v>
      </c>
      <c r="B10">
        <v>0.19748813494728326</v>
      </c>
    </row>
    <row r="11" spans="1:2" x14ac:dyDescent="0.3">
      <c r="A11" t="s">
        <v>21</v>
      </c>
      <c r="B11">
        <v>86</v>
      </c>
    </row>
    <row r="12" spans="1:2" x14ac:dyDescent="0.3">
      <c r="A12" t="s">
        <v>22</v>
      </c>
      <c r="B12">
        <v>10</v>
      </c>
    </row>
    <row r="13" spans="1:2" x14ac:dyDescent="0.3">
      <c r="A13" t="s">
        <v>23</v>
      </c>
      <c r="B13">
        <v>96</v>
      </c>
    </row>
    <row r="14" spans="1:2" x14ac:dyDescent="0.3">
      <c r="A14" t="s">
        <v>24</v>
      </c>
      <c r="B14">
        <v>1004</v>
      </c>
    </row>
    <row r="15" spans="1:2" ht="15" thickBot="1" x14ac:dyDescent="0.35">
      <c r="A15" s="1" t="s">
        <v>25</v>
      </c>
      <c r="B15" s="1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86DD-52BA-4F79-AF6A-E3C8BBAFEFF6}">
  <dimension ref="A1:I43"/>
  <sheetViews>
    <sheetView tabSelected="1" workbookViewId="0">
      <selection activeCell="I9" sqref="I9"/>
    </sheetView>
  </sheetViews>
  <sheetFormatPr defaultRowHeight="14.4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3" t="s">
        <v>27</v>
      </c>
      <c r="B3" s="3"/>
    </row>
    <row r="4" spans="1:9" x14ac:dyDescent="0.3">
      <c r="A4" t="s">
        <v>28</v>
      </c>
      <c r="B4">
        <v>4.0939463272537197E-2</v>
      </c>
    </row>
    <row r="5" spans="1:9" x14ac:dyDescent="0.3">
      <c r="A5" t="s">
        <v>29</v>
      </c>
      <c r="B5">
        <v>1.6760396530434219E-3</v>
      </c>
    </row>
    <row r="6" spans="1:9" x14ac:dyDescent="0.3">
      <c r="A6" t="s">
        <v>30</v>
      </c>
      <c r="B6">
        <v>-5.7048899190895203E-2</v>
      </c>
    </row>
    <row r="7" spans="1:9" x14ac:dyDescent="0.3">
      <c r="A7" t="s">
        <v>14</v>
      </c>
      <c r="B7">
        <v>29.373337962643198</v>
      </c>
    </row>
    <row r="8" spans="1:9" ht="15" thickBot="1" x14ac:dyDescent="0.35">
      <c r="A8" s="1" t="s">
        <v>31</v>
      </c>
      <c r="B8" s="1">
        <v>19</v>
      </c>
    </row>
    <row r="10" spans="1:9" ht="15" thickBot="1" x14ac:dyDescent="0.35">
      <c r="A10" t="s">
        <v>32</v>
      </c>
    </row>
    <row r="11" spans="1:9" x14ac:dyDescent="0.3">
      <c r="A11" s="2"/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41</v>
      </c>
    </row>
    <row r="12" spans="1:9" x14ac:dyDescent="0.3">
      <c r="A12" t="s">
        <v>33</v>
      </c>
      <c r="B12">
        <v>1</v>
      </c>
      <c r="C12">
        <v>24.624551007740592</v>
      </c>
      <c r="D12">
        <v>24.624551007740592</v>
      </c>
      <c r="E12">
        <v>2.8540509126752659E-2</v>
      </c>
      <c r="F12">
        <v>0.86783816785943035</v>
      </c>
    </row>
    <row r="13" spans="1:9" x14ac:dyDescent="0.3">
      <c r="A13" t="s">
        <v>34</v>
      </c>
      <c r="B13">
        <v>17</v>
      </c>
      <c r="C13">
        <v>14667.480712150154</v>
      </c>
      <c r="D13">
        <v>862.79298306765611</v>
      </c>
    </row>
    <row r="14" spans="1:9" ht="15" thickBot="1" x14ac:dyDescent="0.35">
      <c r="A14" s="1" t="s">
        <v>35</v>
      </c>
      <c r="B14" s="1">
        <v>18</v>
      </c>
      <c r="C14" s="1">
        <v>14692.105263157895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42</v>
      </c>
      <c r="C16" s="2" t="s">
        <v>14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47</v>
      </c>
      <c r="I16" s="2" t="s">
        <v>48</v>
      </c>
    </row>
    <row r="17" spans="1:9" x14ac:dyDescent="0.3">
      <c r="A17" t="s">
        <v>36</v>
      </c>
      <c r="B17">
        <v>55.473529126056398</v>
      </c>
      <c r="C17">
        <v>19.869182997301365</v>
      </c>
      <c r="D17">
        <v>2.7919381050338514</v>
      </c>
      <c r="E17">
        <v>1.2515885486514897E-2</v>
      </c>
      <c r="F17">
        <v>13.553217319529104</v>
      </c>
      <c r="G17">
        <v>97.393840932583686</v>
      </c>
      <c r="H17">
        <v>13.553217319529104</v>
      </c>
      <c r="I17">
        <v>97.393840932583686</v>
      </c>
    </row>
    <row r="18" spans="1:9" ht="15" thickBot="1" x14ac:dyDescent="0.35">
      <c r="A18" s="1">
        <v>13</v>
      </c>
      <c r="B18" s="1">
        <v>-5.0248788438083315E-2</v>
      </c>
      <c r="C18" s="1">
        <v>0.29743682514452163</v>
      </c>
      <c r="D18" s="1">
        <v>-0.16893936523719927</v>
      </c>
      <c r="E18" s="1">
        <v>0.86783816785944146</v>
      </c>
      <c r="F18" s="1">
        <v>-0.67778563554927951</v>
      </c>
      <c r="G18" s="1">
        <v>0.57728805867311284</v>
      </c>
      <c r="H18" s="1">
        <v>-0.67778563554927951</v>
      </c>
      <c r="I18" s="1">
        <v>0.57728805867311284</v>
      </c>
    </row>
    <row r="22" spans="1:9" x14ac:dyDescent="0.3">
      <c r="A22" t="s">
        <v>49</v>
      </c>
    </row>
    <row r="23" spans="1:9" ht="15" thickBot="1" x14ac:dyDescent="0.35"/>
    <row r="24" spans="1:9" x14ac:dyDescent="0.3">
      <c r="A24" s="2" t="s">
        <v>50</v>
      </c>
      <c r="B24" s="2" t="s">
        <v>51</v>
      </c>
      <c r="C24" s="2" t="s">
        <v>52</v>
      </c>
    </row>
    <row r="25" spans="1:9" x14ac:dyDescent="0.3">
      <c r="A25">
        <v>1</v>
      </c>
      <c r="B25">
        <v>53.714821530723484</v>
      </c>
      <c r="C25">
        <v>42.285178469276516</v>
      </c>
    </row>
    <row r="26" spans="1:9" x14ac:dyDescent="0.3">
      <c r="A26">
        <v>2</v>
      </c>
      <c r="B26">
        <v>51.252630897257397</v>
      </c>
      <c r="C26">
        <v>-38.252630897257397</v>
      </c>
    </row>
    <row r="27" spans="1:9" x14ac:dyDescent="0.3">
      <c r="A27">
        <v>3</v>
      </c>
      <c r="B27">
        <v>51.101884531943149</v>
      </c>
      <c r="C27">
        <v>40.898115468056851</v>
      </c>
    </row>
    <row r="28" spans="1:9" x14ac:dyDescent="0.3">
      <c r="A28">
        <v>4</v>
      </c>
      <c r="B28">
        <v>52.961089704152229</v>
      </c>
      <c r="C28">
        <v>27.038910295847771</v>
      </c>
    </row>
    <row r="29" spans="1:9" x14ac:dyDescent="0.3">
      <c r="A29">
        <v>5</v>
      </c>
      <c r="B29">
        <v>51.302879685695487</v>
      </c>
      <c r="C29">
        <v>-29.302879685695487</v>
      </c>
    </row>
    <row r="30" spans="1:9" x14ac:dyDescent="0.3">
      <c r="A30">
        <v>6</v>
      </c>
      <c r="B30">
        <v>51.152133320381232</v>
      </c>
      <c r="C30">
        <v>-4.1521333203812318</v>
      </c>
    </row>
    <row r="31" spans="1:9" x14ac:dyDescent="0.3">
      <c r="A31">
        <v>7</v>
      </c>
      <c r="B31">
        <v>53.564075165409236</v>
      </c>
      <c r="C31">
        <v>6.4359248345907645</v>
      </c>
    </row>
    <row r="32" spans="1:9" x14ac:dyDescent="0.3">
      <c r="A32">
        <v>8</v>
      </c>
      <c r="B32">
        <v>52.609348185085651</v>
      </c>
      <c r="C32">
        <v>11.390651814914349</v>
      </c>
    </row>
    <row r="33" spans="1:3" x14ac:dyDescent="0.3">
      <c r="A33">
        <v>9</v>
      </c>
      <c r="B33">
        <v>54.167060626666235</v>
      </c>
      <c r="C33">
        <v>13.832939373333765</v>
      </c>
    </row>
    <row r="34" spans="1:3" x14ac:dyDescent="0.3">
      <c r="A34">
        <v>10</v>
      </c>
      <c r="B34">
        <v>50.448650282248067</v>
      </c>
      <c r="C34">
        <v>-19.448650282248067</v>
      </c>
    </row>
    <row r="35" spans="1:3" x14ac:dyDescent="0.3">
      <c r="A35">
        <v>11</v>
      </c>
      <c r="B35">
        <v>52.257606666019065</v>
      </c>
      <c r="C35">
        <v>43.742393333980935</v>
      </c>
    </row>
    <row r="36" spans="1:3" x14ac:dyDescent="0.3">
      <c r="A36">
        <v>12</v>
      </c>
      <c r="B36">
        <v>51.704869993200148</v>
      </c>
      <c r="C36">
        <v>-23.704869993200148</v>
      </c>
    </row>
    <row r="37" spans="1:3" x14ac:dyDescent="0.3">
      <c r="A37">
        <v>13</v>
      </c>
      <c r="B37">
        <v>51.403377262571652</v>
      </c>
      <c r="C37">
        <v>28.596622737428348</v>
      </c>
    </row>
    <row r="38" spans="1:3" x14ac:dyDescent="0.3">
      <c r="A38">
        <v>14</v>
      </c>
      <c r="B38">
        <v>51.453626051009735</v>
      </c>
      <c r="C38">
        <v>16.546373948990265</v>
      </c>
    </row>
    <row r="39" spans="1:3" x14ac:dyDescent="0.3">
      <c r="A39">
        <v>15</v>
      </c>
      <c r="B39">
        <v>53.41332880009498</v>
      </c>
      <c r="C39">
        <v>-28.41332880009498</v>
      </c>
    </row>
    <row r="40" spans="1:3" x14ac:dyDescent="0.3">
      <c r="A40">
        <v>16</v>
      </c>
      <c r="B40">
        <v>53.664572742285401</v>
      </c>
      <c r="C40">
        <v>-39.664572742285401</v>
      </c>
    </row>
    <row r="41" spans="1:3" x14ac:dyDescent="0.3">
      <c r="A41">
        <v>17</v>
      </c>
      <c r="B41">
        <v>52.810343338837981</v>
      </c>
      <c r="C41">
        <v>-21.810343338837981</v>
      </c>
    </row>
    <row r="42" spans="1:3" x14ac:dyDescent="0.3">
      <c r="A42">
        <v>18</v>
      </c>
      <c r="B42">
        <v>53.815319107599649</v>
      </c>
      <c r="C42">
        <v>-30.815319107599649</v>
      </c>
    </row>
    <row r="43" spans="1:3" ht="15" thickBot="1" x14ac:dyDescent="0.35">
      <c r="A43" s="1">
        <v>19</v>
      </c>
      <c r="B43" s="1">
        <v>51.202382108819315</v>
      </c>
      <c r="C43" s="1">
        <v>4.7976178911806855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B3" sqref="B3:B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95</v>
      </c>
      <c r="B2">
        <v>13</v>
      </c>
      <c r="C2">
        <v>76</v>
      </c>
      <c r="D2">
        <v>88</v>
      </c>
      <c r="E2">
        <v>10</v>
      </c>
    </row>
    <row r="3" spans="1:5" x14ac:dyDescent="0.3">
      <c r="A3">
        <v>17</v>
      </c>
      <c r="B3">
        <v>35</v>
      </c>
      <c r="C3">
        <v>68</v>
      </c>
      <c r="D3">
        <v>66</v>
      </c>
      <c r="E3">
        <v>96</v>
      </c>
    </row>
    <row r="4" spans="1:5" x14ac:dyDescent="0.3">
      <c r="A4">
        <v>66</v>
      </c>
      <c r="B4">
        <v>84</v>
      </c>
      <c r="C4">
        <v>96</v>
      </c>
      <c r="D4">
        <v>32</v>
      </c>
      <c r="E4">
        <v>13</v>
      </c>
    </row>
    <row r="5" spans="1:5" x14ac:dyDescent="0.3">
      <c r="A5">
        <v>22</v>
      </c>
      <c r="B5">
        <v>87</v>
      </c>
      <c r="C5">
        <v>80</v>
      </c>
      <c r="D5">
        <v>37</v>
      </c>
      <c r="E5">
        <v>92</v>
      </c>
    </row>
    <row r="6" spans="1:5" x14ac:dyDescent="0.3">
      <c r="A6">
        <v>30</v>
      </c>
      <c r="B6">
        <v>50</v>
      </c>
      <c r="C6">
        <v>77</v>
      </c>
      <c r="D6">
        <v>15</v>
      </c>
      <c r="E6">
        <v>80</v>
      </c>
    </row>
    <row r="7" spans="1:5" x14ac:dyDescent="0.3">
      <c r="A7">
        <v>63</v>
      </c>
      <c r="B7">
        <v>83</v>
      </c>
      <c r="C7">
        <v>21</v>
      </c>
      <c r="D7">
        <v>93</v>
      </c>
      <c r="E7">
        <v>22</v>
      </c>
    </row>
    <row r="8" spans="1:5" x14ac:dyDescent="0.3">
      <c r="A8">
        <v>70</v>
      </c>
      <c r="B8">
        <v>86</v>
      </c>
      <c r="C8">
        <v>19</v>
      </c>
      <c r="D8">
        <v>100</v>
      </c>
      <c r="E8">
        <v>47</v>
      </c>
    </row>
    <row r="9" spans="1:5" x14ac:dyDescent="0.3">
      <c r="A9">
        <v>19</v>
      </c>
      <c r="B9">
        <v>38</v>
      </c>
      <c r="C9">
        <v>92</v>
      </c>
      <c r="D9">
        <v>37</v>
      </c>
      <c r="E9">
        <v>60</v>
      </c>
    </row>
    <row r="10" spans="1:5" x14ac:dyDescent="0.3">
      <c r="A10">
        <v>43</v>
      </c>
      <c r="B10">
        <v>57</v>
      </c>
      <c r="C10">
        <v>10</v>
      </c>
      <c r="D10">
        <v>46</v>
      </c>
      <c r="E10">
        <v>64</v>
      </c>
    </row>
    <row r="11" spans="1:5" x14ac:dyDescent="0.3">
      <c r="A11">
        <v>24</v>
      </c>
      <c r="B11">
        <v>26</v>
      </c>
      <c r="C11">
        <v>89</v>
      </c>
      <c r="D11">
        <v>10</v>
      </c>
      <c r="E11">
        <v>68</v>
      </c>
    </row>
    <row r="12" spans="1:5" x14ac:dyDescent="0.3">
      <c r="A12">
        <v>15</v>
      </c>
      <c r="B12">
        <v>100</v>
      </c>
      <c r="C12">
        <v>66</v>
      </c>
      <c r="D12">
        <v>94</v>
      </c>
      <c r="E12">
        <v>31</v>
      </c>
    </row>
    <row r="13" spans="1:5" x14ac:dyDescent="0.3">
      <c r="A13">
        <v>86</v>
      </c>
      <c r="B13">
        <v>64</v>
      </c>
      <c r="C13">
        <v>20</v>
      </c>
      <c r="D13">
        <v>95</v>
      </c>
      <c r="E13">
        <v>96</v>
      </c>
    </row>
    <row r="14" spans="1:5" x14ac:dyDescent="0.3">
      <c r="A14">
        <v>24</v>
      </c>
      <c r="B14">
        <v>75</v>
      </c>
      <c r="C14">
        <v>62</v>
      </c>
      <c r="D14">
        <v>62</v>
      </c>
      <c r="E14">
        <v>28</v>
      </c>
    </row>
    <row r="15" spans="1:5" x14ac:dyDescent="0.3">
      <c r="A15">
        <v>27</v>
      </c>
      <c r="B15">
        <v>81</v>
      </c>
      <c r="C15">
        <v>57</v>
      </c>
      <c r="D15">
        <v>77</v>
      </c>
      <c r="E15">
        <v>80</v>
      </c>
    </row>
    <row r="16" spans="1:5" x14ac:dyDescent="0.3">
      <c r="A16">
        <v>82</v>
      </c>
      <c r="B16">
        <v>80</v>
      </c>
      <c r="C16">
        <v>15</v>
      </c>
      <c r="D16">
        <v>64</v>
      </c>
      <c r="E16">
        <v>68</v>
      </c>
    </row>
    <row r="17" spans="1:6" x14ac:dyDescent="0.3">
      <c r="A17">
        <v>84</v>
      </c>
      <c r="B17">
        <v>41</v>
      </c>
      <c r="C17">
        <v>23</v>
      </c>
      <c r="D17">
        <v>32</v>
      </c>
      <c r="E17">
        <v>25</v>
      </c>
    </row>
    <row r="18" spans="1:6" x14ac:dyDescent="0.3">
      <c r="A18">
        <v>75</v>
      </c>
      <c r="B18">
        <v>36</v>
      </c>
      <c r="C18">
        <v>94</v>
      </c>
      <c r="D18">
        <v>92</v>
      </c>
      <c r="E18">
        <v>14</v>
      </c>
    </row>
    <row r="19" spans="1:6" x14ac:dyDescent="0.3">
      <c r="A19">
        <v>37</v>
      </c>
      <c r="B19">
        <v>53</v>
      </c>
      <c r="C19">
        <v>56</v>
      </c>
      <c r="D19">
        <v>41</v>
      </c>
      <c r="E19">
        <v>31</v>
      </c>
    </row>
    <row r="20" spans="1:6" x14ac:dyDescent="0.3">
      <c r="A20">
        <v>20</v>
      </c>
      <c r="B20">
        <v>33</v>
      </c>
      <c r="C20">
        <v>84</v>
      </c>
      <c r="D20">
        <v>16</v>
      </c>
      <c r="E20">
        <v>23</v>
      </c>
    </row>
    <row r="21" spans="1:6" x14ac:dyDescent="0.3">
      <c r="A21">
        <v>70</v>
      </c>
      <c r="B21">
        <v>85</v>
      </c>
      <c r="C21">
        <v>69</v>
      </c>
      <c r="D21">
        <v>23</v>
      </c>
      <c r="E21">
        <v>56</v>
      </c>
    </row>
    <row r="22" spans="1:6" x14ac:dyDescent="0.3">
      <c r="E22">
        <f>AVERAGE(E2:E21)</f>
        <v>50.2</v>
      </c>
      <c r="F22" t="s">
        <v>5</v>
      </c>
    </row>
    <row r="23" spans="1:6" x14ac:dyDescent="0.3">
      <c r="E23">
        <f>MEDIAN(E2:E21)</f>
        <v>51.5</v>
      </c>
      <c r="F23" t="s">
        <v>6</v>
      </c>
    </row>
    <row r="24" spans="1:6" x14ac:dyDescent="0.3">
      <c r="E24">
        <f>MODE(E2:E21)</f>
        <v>96</v>
      </c>
      <c r="F24" t="s">
        <v>7</v>
      </c>
    </row>
    <row r="25" spans="1:6" x14ac:dyDescent="0.3">
      <c r="E25">
        <f>_xlfn.VAR.S(E2:E21)</f>
        <v>862.79999999999984</v>
      </c>
      <c r="F25" t="s">
        <v>8</v>
      </c>
    </row>
    <row r="26" spans="1:6" x14ac:dyDescent="0.3">
      <c r="E26">
        <f>_xlfn.STDEV.S(E2:E21)</f>
        <v>29.373457406304759</v>
      </c>
      <c r="F26" t="s">
        <v>9</v>
      </c>
    </row>
    <row r="27" spans="1:6" x14ac:dyDescent="0.3">
      <c r="E27">
        <f>CORREL(E2:E21, B2:B21)</f>
        <v>0.1074141408159088</v>
      </c>
      <c r="F27" t="s">
        <v>10</v>
      </c>
    </row>
    <row r="28" spans="1:6" x14ac:dyDescent="0.3">
      <c r="E28">
        <f>MAX(E2:E21)-MIN(E2:E21)</f>
        <v>86</v>
      </c>
      <c r="F28" t="s">
        <v>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shakam sivaramireddy</cp:lastModifiedBy>
  <dcterms:created xsi:type="dcterms:W3CDTF">2026-05-26T15:34:52Z</dcterms:created>
  <dcterms:modified xsi:type="dcterms:W3CDTF">2026-05-27T04:05:16Z</dcterms:modified>
</cp:coreProperties>
</file>